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xg52ms/Downloads/"/>
    </mc:Choice>
  </mc:AlternateContent>
  <xr:revisionPtr revIDLastSave="0" documentId="13_ncr:1_{79407CC8-A733-8A44-8225-AF62880EDDF0}" xr6:coauthVersionLast="47" xr6:coauthVersionMax="47" xr10:uidLastSave="{00000000-0000-0000-0000-000000000000}"/>
  <bookViews>
    <workbookView xWindow="0" yWindow="660" windowWidth="15960" windowHeight="17300" activeTab="2" xr2:uid="{00000000-000D-0000-FFFF-FFFF00000000}"/>
  </bookViews>
  <sheets>
    <sheet name="INFO" sheetId="1" r:id="rId1"/>
    <sheet name="DATA" sheetId="2" r:id="rId2"/>
    <sheet name="LEG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26" i="2" l="1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</calcChain>
</file>

<file path=xl/sharedStrings.xml><?xml version="1.0" encoding="utf-8"?>
<sst xmlns="http://schemas.openxmlformats.org/spreadsheetml/2006/main" count="470" uniqueCount="343">
  <si>
    <t>Category</t>
  </si>
  <si>
    <t>Ticker</t>
  </si>
  <si>
    <t>Descritpion</t>
  </si>
  <si>
    <t>Tcode</t>
  </si>
  <si>
    <t>SA</t>
  </si>
  <si>
    <t>Source</t>
  </si>
  <si>
    <t>Link</t>
  </si>
  <si>
    <t xml:space="preserve">Output </t>
  </si>
  <si>
    <t>YER</t>
  </si>
  <si>
    <t>Real GDP (chain linked volumes, million of euro)</t>
  </si>
  <si>
    <t>yes</t>
  </si>
  <si>
    <t>AWM</t>
  </si>
  <si>
    <t>PCR</t>
  </si>
  <si>
    <t>Real household consumption (chain linked volumes, million of euro)</t>
  </si>
  <si>
    <t>GCR</t>
  </si>
  <si>
    <t>Real government consumption (chain linked volumes, million of euro)</t>
  </si>
  <si>
    <t>ITR</t>
  </si>
  <si>
    <t>Gross fixed capital formation (chain linked volumes, million of euro)</t>
  </si>
  <si>
    <t>XTR</t>
  </si>
  <si>
    <t>Exports of goods and services (chain linked volumes, million of euro)</t>
  </si>
  <si>
    <t>MTR</t>
  </si>
  <si>
    <t>Imports of goods and services (chain linked volumes, million of euro)</t>
  </si>
  <si>
    <t>GON</t>
  </si>
  <si>
    <t>Gross operating surplus (current prices, million of euro)</t>
  </si>
  <si>
    <t>CAPU</t>
  </si>
  <si>
    <t>Current level of capacity utilization (in percent)</t>
  </si>
  <si>
    <t>Prices and Commodities</t>
  </si>
  <si>
    <t>YED</t>
  </si>
  <si>
    <t>GDP deflator (index, 2020=100)</t>
  </si>
  <si>
    <t>PCD</t>
  </si>
  <si>
    <t>Private consumption deflator (index, 2020=100)</t>
  </si>
  <si>
    <t>GCD</t>
  </si>
  <si>
    <t>Government consumption deflator (index, 2020=100)</t>
  </si>
  <si>
    <t>ITD</t>
  </si>
  <si>
    <t>Investment deflator (index, 2020=100)</t>
  </si>
  <si>
    <t>XTD</t>
  </si>
  <si>
    <t>Exports deflator (index, 2020=100)</t>
  </si>
  <si>
    <t>MTD</t>
  </si>
  <si>
    <t>Imports deflator (index, 2020=100)</t>
  </si>
  <si>
    <t>HICP</t>
  </si>
  <si>
    <t>HICP overall index (index, 2015=100)</t>
  </si>
  <si>
    <t>no</t>
  </si>
  <si>
    <t>PCOM</t>
  </si>
  <si>
    <t>Commodity price index (US dollar-denominated, weighted sum all commodities)</t>
  </si>
  <si>
    <t>x</t>
  </si>
  <si>
    <t>POIL</t>
  </si>
  <si>
    <t>Price of oil (UK Brent, US dollars per barrel)</t>
  </si>
  <si>
    <t>PXOIL</t>
  </si>
  <si>
    <t>Non-oil commodity prices (ECB non-oil commodity index)</t>
  </si>
  <si>
    <t>RPP</t>
  </si>
  <si>
    <t>Residential property prices (all dwelling types, new and existing)</t>
  </si>
  <si>
    <t>Labour Market</t>
  </si>
  <si>
    <t>WIN</t>
  </si>
  <si>
    <t>Compensation of employees (current prices, million of euro)</t>
  </si>
  <si>
    <t>LFN</t>
  </si>
  <si>
    <t>Labor force (thousand persons)</t>
  </si>
  <si>
    <t>LNN</t>
  </si>
  <si>
    <t>Total employment (thousand persons)</t>
  </si>
  <si>
    <t>LEN</t>
  </si>
  <si>
    <t>Number of employees (thousand persons)</t>
  </si>
  <si>
    <t>UR</t>
  </si>
  <si>
    <t>Unemployment rate (Percent of labor force, 15 to 74 years)</t>
  </si>
  <si>
    <t>HW</t>
  </si>
  <si>
    <t>Hours worked (thousand hours worked, recalculated)</t>
  </si>
  <si>
    <t>ULC</t>
  </si>
  <si>
    <t>Unit labor costs</t>
  </si>
  <si>
    <t>WRN</t>
  </si>
  <si>
    <t>Average wage</t>
  </si>
  <si>
    <t>PRODN</t>
  </si>
  <si>
    <t>Real labor productivity per person</t>
  </si>
  <si>
    <t>PRODH</t>
  </si>
  <si>
    <t>Real labor productivity per hour worked</t>
  </si>
  <si>
    <t>Finance</t>
  </si>
  <si>
    <t>EEN</t>
  </si>
  <si>
    <t>Effective exchange rate</t>
  </si>
  <si>
    <t>ECB</t>
  </si>
  <si>
    <t>USD</t>
  </si>
  <si>
    <t>USD/EUR exchange rate (average)</t>
  </si>
  <si>
    <t>Eurostat</t>
  </si>
  <si>
    <t>IRS</t>
  </si>
  <si>
    <t>Nominal short-term interest rate (3-month rate, percent p.a.)</t>
  </si>
  <si>
    <t>IRL</t>
  </si>
  <si>
    <t>Nominal long-term interest rate (10-year government bond yield, percent p.a.)</t>
  </si>
  <si>
    <t>SPR</t>
  </si>
  <si>
    <t>Spread (IRL-IRS)</t>
  </si>
  <si>
    <t>M1</t>
  </si>
  <si>
    <t xml:space="preserve">Monetary aggregate M1, Stocks, Millions of Euro </t>
  </si>
  <si>
    <t>M2</t>
  </si>
  <si>
    <t>Monetary aggregate M2, Stocks, Millions of Euro</t>
  </si>
  <si>
    <t>M3</t>
  </si>
  <si>
    <t>Monetary aggregate M3, Stocks, Millions of Euro</t>
  </si>
  <si>
    <t>SP500</t>
  </si>
  <si>
    <t>S&amp;P 500 Equity Index (historical close, average of observations)</t>
  </si>
  <si>
    <t>External variables</t>
  </si>
  <si>
    <t>YWR</t>
  </si>
  <si>
    <t>World GDP (million USD, weighted average of US, UK, Japan, Switzerland)</t>
  </si>
  <si>
    <t>USGDP</t>
  </si>
  <si>
    <t>Real GDP (billions of chained 2017 Dollars)</t>
  </si>
  <si>
    <t>FRED</t>
  </si>
  <si>
    <t>USCPI</t>
  </si>
  <si>
    <t>CPI (all Items, index 1982-1984=100)</t>
  </si>
  <si>
    <t>USPPI</t>
  </si>
  <si>
    <t>PPI (all commodities, index 1982=100)</t>
  </si>
  <si>
    <t>Uncertanty</t>
  </si>
  <si>
    <t>CISS</t>
  </si>
  <si>
    <t>Composite Indicator of Systemic Stress</t>
  </si>
  <si>
    <t>GPRH</t>
  </si>
  <si>
    <t>Historical Geopolitical Risk Index (index, 1900:2019=1)</t>
  </si>
  <si>
    <t>EPU</t>
  </si>
  <si>
    <t>Surveys</t>
  </si>
  <si>
    <t>ESI</t>
  </si>
  <si>
    <t>Economic Sentiment Indicator (long-term average = 100)</t>
  </si>
  <si>
    <t>ICI</t>
  </si>
  <si>
    <t>Industrial Confidence Indicator (balances: -100 to 100)</t>
  </si>
  <si>
    <t>Vars</t>
  </si>
  <si>
    <t>Start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</si>
  <si>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</si>
  <si>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</si>
  <si>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</si>
  <si>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</si>
  <si>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</si>
  <si>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</si>
  <si>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</si>
  <si>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</si>
  <si>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</si>
  <si>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</si>
  <si>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</si>
  <si>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</si>
  <si>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</si>
  <si>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</si>
  <si>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</si>
  <si>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</si>
  <si>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</si>
  <si>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</si>
  <si>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</si>
  <si>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</si>
  <si>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</si>
  <si>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</si>
  <si>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</si>
  <si>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</si>
  <si>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</si>
  <si>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</si>
  <si>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</si>
  <si>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</si>
  <si>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</si>
  <si>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</si>
  <si>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</si>
  <si>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</si>
  <si>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</si>
  <si>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</si>
  <si>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</si>
  <si>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</si>
  <si>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</si>
  <si>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</si>
  <si>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</si>
  <si>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</si>
  <si>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</si>
  <si>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</si>
  <si>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</si>
  <si>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</si>
  <si>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</si>
  <si>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</si>
  <si>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</si>
  <si>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</si>
  <si>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</si>
  <si>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</si>
  <si>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</si>
  <si>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</si>
  <si>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</si>
  <si>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</si>
  <si>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</si>
  <si>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</si>
  <si>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</si>
  <si>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</si>
  <si>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</si>
  <si>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</si>
  <si>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</si>
  <si>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</si>
  <si>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</si>
  <si>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</si>
  <si>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</si>
  <si>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</si>
  <si>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</si>
  <si>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</si>
  <si>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</si>
  <si>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</si>
  <si>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</si>
  <si>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</si>
  <si>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</si>
  <si>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</si>
  <si>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</si>
  <si>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</si>
  <si>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</si>
  <si>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</si>
  <si>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</si>
  <si>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</si>
  <si>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</si>
  <si>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</si>
  <si>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</si>
  <si>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</si>
  <si>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</si>
  <si>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</si>
  <si>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</si>
  <si>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</si>
  <si>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</si>
  <si>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</si>
  <si>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</si>
  <si>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</si>
  <si>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</si>
  <si>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</si>
  <si>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</si>
  <si>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</si>
  <si>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</si>
  <si>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</si>
  <si>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</si>
  <si>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</si>
  <si>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</si>
  <si>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</si>
  <si>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</si>
  <si>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</si>
  <si>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</si>
  <si>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</si>
  <si>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</si>
  <si>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</si>
  <si>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</si>
  <si>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</si>
  <si>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</si>
  <si>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</si>
  <si>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</si>
  <si>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</si>
  <si>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</si>
  <si>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</si>
  <si>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</si>
  <si>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</si>
  <si>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</si>
  <si>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</si>
  <si>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</si>
  <si>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</si>
  <si>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</si>
  <si>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</si>
  <si>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</si>
  <si>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</si>
  <si>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</si>
  <si>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</si>
  <si>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</si>
  <si>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</si>
  <si>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</si>
  <si>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</si>
  <si>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</si>
  <si>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</si>
  <si>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</si>
  <si>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</si>
  <si>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</si>
  <si>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</si>
  <si>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</si>
  <si>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</si>
  <si>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</si>
  <si>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</si>
  <si>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</si>
  <si>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</si>
  <si>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</si>
  <si>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</si>
  <si>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</si>
  <si>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</si>
  <si>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</si>
  <si>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</si>
  <si>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</si>
  <si>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</si>
  <si>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</si>
  <si>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</si>
  <si>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</si>
  <si>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</si>
  <si>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</si>
  <si>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</si>
  <si>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</si>
  <si>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</si>
  <si>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</si>
  <si>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</si>
  <si>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</si>
  <si>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</si>
  <si>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</si>
  <si>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</si>
  <si>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</si>
  <si>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</si>
  <si>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</si>
  <si>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</si>
  <si>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</si>
  <si>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</si>
  <si>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</si>
  <si>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</si>
  <si>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</si>
  <si>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</si>
  <si>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</si>
  <si>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</si>
  <si>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</si>
  <si>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</si>
  <si>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</si>
  <si>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</si>
  <si>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</si>
  <si>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</si>
  <si>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</si>
  <si>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</si>
  <si>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</si>
  <si>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</si>
  <si>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</si>
  <si>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</si>
  <si>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</si>
  <si>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</si>
  <si>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</si>
  <si>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</si>
  <si>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</si>
  <si>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</si>
  <si>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</si>
  <si>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</si>
  <si>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</si>
  <si>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</si>
  <si>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</si>
  <si>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</si>
  <si>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</si>
  <si>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</si>
  <si>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</si>
  <si>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</si>
  <si>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</si>
  <si>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</si>
  <si>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</si>
  <si>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</si>
  <si>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</si>
  <si>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</si>
  <si>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</si>
  <si>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</si>
  <si>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</si>
  <si>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</si>
  <si>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</si>
  <si>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</si>
  <si>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</si>
  <si>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</si>
  <si>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</si>
  <si>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</si>
  <si>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</si>
  <si>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</si>
  <si>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No-transformation</t>
  </si>
  <si>
    <t xml:space="preserve">Year-on-year (seasonal) differences </t>
  </si>
  <si>
    <t>Year-on-year (seasonal) percentage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</si>
</sst>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* #,##0&quot; &quot;;&quot;-&quot;* #,##0&quot; &quot;;&quot; &quot;* &quot;-&quot;??&quot; &quot;"/>
    <numFmt numFmtId="165" formatCode="0.0"/>
    <numFmt numFmtId="166" formatCode="0.000"/>
  </numFmts>
  <fonts count="5" x14ac:knownFonts="1">
    <font>
      <sz val="11"/>
      <color indexed="8"/>
      <name val="Aptos Narrow"/>
    </font>
    <font>
      <sz val="12"/>
      <color indexed="8"/>
      <name val="Aptos Narrow"/>
    </font>
    <font>
      <b/>
      <sz val="12"/>
      <color indexed="8"/>
      <name val="Aptos Narrow"/>
    </font>
    <font>
      <sz val="12"/>
      <color indexed="8"/>
      <name val="Calibri"/>
      <family val="2"/>
    </font>
    <font>
      <b/>
      <sz val="11"/>
      <color indexed="8"/>
      <name val="Aptos Narrow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fillId="0" borderId="0" applyNumberFormat="0" applyFill="0" applyBorder="0" applyProtection="0"/>
  </cellStyleXfs>
  <cellXfs count="36">
    <xf numFmtId="0" fontId="0" fillId="0" borderId="0" xfId="0"/>
    <xf numFmtId="0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center"/>
    </xf>
    <xf numFmtId="0" fontId="0" fillId="0" borderId="1" xfId="0" applyBorder="1"/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/>
    <xf numFmtId="49" fontId="4" fillId="3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left"/>
    </xf>
    <xf numFmtId="0" fontId="4" fillId="6" borderId="2" xfId="0" applyFont="1" applyFill="1" applyBorder="1"/>
    <xf numFmtId="0" fontId="4" fillId="5" borderId="3" xfId="0" applyNumberFormat="1" applyFont="1" applyFill="1" applyBorder="1" applyAlignment="1">
      <alignment horizontal="center"/>
    </xf>
    <xf numFmtId="49" fontId="0" fillId="0" borderId="4" xfId="0" applyNumberFormat="1" applyBorder="1" applyAlignment="1">
      <alignment horizontal="left"/>
    </xf>
    <xf numFmtId="0" fontId="0" fillId="0" borderId="5" xfId="0" applyBorder="1"/>
    <xf numFmtId="0" fontId="4" fillId="5" borderId="6" xfId="0" applyNumberFormat="1" applyFont="1" applyFill="1" applyBorder="1" applyAlignment="1">
      <alignment horizontal="center"/>
    </xf>
    <xf numFmtId="49" fontId="0" fillId="0" borderId="7" xfId="0" applyNumberFormat="1" applyBorder="1" applyAlignment="1">
      <alignment horizontal="left"/>
    </xf>
    <xf numFmtId="0" fontId="0" fillId="0" borderId="8" xfId="0" applyBorder="1"/>
    <xf numFmtId="0" fontId="4" fillId="5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A6D396"/>
      <rgbColor rgb="FFF4B898"/>
      <rgbColor rgb="FF87CEEA"/>
      <rgbColor rgb="FFDBDBDB"/>
      <rgbColor rgb="FFBDC0BF"/>
      <rgbColor rgb="FFA5A5A5"/>
      <rgbColor rgb="FF3F3F3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showGridLines="0" workbookViewId="0"/>
  </sheetViews>
  <sheetFormatPr baseColWidth="10" defaultColWidth="8.83203125" defaultRowHeight="15" customHeight="1" x14ac:dyDescent="0.2"/>
  <cols>
    <col min="1" max="1" width="22.6640625" style="1" customWidth="1"/>
    <col min="2" max="2" width="13.5" style="1" customWidth="1"/>
    <col min="3" max="3" width="74.1640625" style="1" customWidth="1"/>
    <col min="4" max="5" width="7.5" style="1" customWidth="1"/>
    <col min="6" max="6" width="10.5" style="1" customWidth="1"/>
    <col min="7" max="7" width="32" style="1" customWidth="1"/>
    <col min="8" max="8" width="8.83203125" style="1" customWidth="1"/>
    <col min="9" max="16384" width="8.83203125" style="1"/>
  </cols>
  <sheetData>
    <row r="1" spans="1:7" ht="17" customHeight="1" x14ac:dyDescent="0.2">
      <c r="A1" s="2"/>
      <c r="B1" s="2"/>
      <c r="C1" s="3"/>
      <c r="D1" s="2"/>
      <c r="E1" s="2"/>
      <c r="F1" s="2"/>
      <c r="G1" s="2"/>
    </row>
    <row r="2" spans="1:7" ht="22.5" customHeight="1" x14ac:dyDescent="0.2">
      <c r="A2" s="4" t="s">
        <v>0</v>
      </c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22.5" customHeight="1" x14ac:dyDescent="0.2">
      <c r="A3" s="2"/>
      <c r="B3" s="2"/>
      <c r="C3" s="3"/>
      <c r="D3" s="2"/>
      <c r="E3" s="2"/>
      <c r="F3" s="2"/>
      <c r="G3" s="2"/>
    </row>
    <row r="4" spans="1:7" ht="17" customHeight="1" x14ac:dyDescent="0.2">
      <c r="A4" s="6" t="s">
        <v>7</v>
      </c>
      <c r="B4" s="6" t="s">
        <v>8</v>
      </c>
      <c r="C4" s="7" t="s">
        <v>9</v>
      </c>
      <c r="D4" s="8">
        <v>3</v>
      </c>
      <c r="E4" s="6" t="s">
        <v>10</v>
      </c>
      <c r="F4" s="6" t="s">
        <v>11</v>
      </c>
      <c r="G4" s="2"/>
    </row>
    <row r="5" spans="1:7" ht="17" customHeight="1" x14ac:dyDescent="0.2">
      <c r="A5" s="2"/>
      <c r="B5" s="6" t="s">
        <v>12</v>
      </c>
      <c r="C5" s="7" t="s">
        <v>13</v>
      </c>
      <c r="D5" s="8">
        <v>3</v>
      </c>
      <c r="E5" s="6" t="s">
        <v>10</v>
      </c>
      <c r="F5" s="6" t="s">
        <v>11</v>
      </c>
      <c r="G5" s="2"/>
    </row>
    <row r="6" spans="1:7" ht="17" customHeight="1" x14ac:dyDescent="0.2">
      <c r="A6" s="2"/>
      <c r="B6" s="6" t="s">
        <v>14</v>
      </c>
      <c r="C6" s="7" t="s">
        <v>15</v>
      </c>
      <c r="D6" s="8">
        <v>3</v>
      </c>
      <c r="E6" s="6" t="s">
        <v>10</v>
      </c>
      <c r="F6" s="6" t="s">
        <v>11</v>
      </c>
      <c r="G6" s="2"/>
    </row>
    <row r="7" spans="1:7" ht="17" customHeight="1" x14ac:dyDescent="0.2">
      <c r="A7" s="2"/>
      <c r="B7" s="6" t="s">
        <v>16</v>
      </c>
      <c r="C7" s="7" t="s">
        <v>17</v>
      </c>
      <c r="D7" s="8">
        <v>3</v>
      </c>
      <c r="E7" s="6" t="s">
        <v>10</v>
      </c>
      <c r="F7" s="6" t="s">
        <v>11</v>
      </c>
      <c r="G7" s="2"/>
    </row>
    <row r="8" spans="1:7" ht="17" customHeight="1" x14ac:dyDescent="0.2">
      <c r="A8" s="2"/>
      <c r="B8" s="6" t="s">
        <v>18</v>
      </c>
      <c r="C8" s="7" t="s">
        <v>19</v>
      </c>
      <c r="D8" s="8">
        <v>3</v>
      </c>
      <c r="E8" s="6" t="s">
        <v>10</v>
      </c>
      <c r="F8" s="6" t="s">
        <v>11</v>
      </c>
      <c r="G8" s="2"/>
    </row>
    <row r="9" spans="1:7" ht="17" customHeight="1" x14ac:dyDescent="0.2">
      <c r="A9" s="2"/>
      <c r="B9" s="6" t="s">
        <v>20</v>
      </c>
      <c r="C9" s="7" t="s">
        <v>21</v>
      </c>
      <c r="D9" s="8">
        <v>3</v>
      </c>
      <c r="E9" s="6" t="s">
        <v>10</v>
      </c>
      <c r="F9" s="6" t="s">
        <v>11</v>
      </c>
      <c r="G9" s="2"/>
    </row>
    <row r="10" spans="1:7" ht="17" customHeight="1" x14ac:dyDescent="0.2">
      <c r="A10" s="2"/>
      <c r="B10" s="6" t="s">
        <v>22</v>
      </c>
      <c r="C10" s="7" t="s">
        <v>23</v>
      </c>
      <c r="D10" s="8">
        <v>3</v>
      </c>
      <c r="E10" s="6" t="s">
        <v>10</v>
      </c>
      <c r="F10" s="6" t="s">
        <v>11</v>
      </c>
      <c r="G10" s="2"/>
    </row>
    <row r="11" spans="1:7" ht="17" customHeight="1" x14ac:dyDescent="0.2">
      <c r="A11" s="2"/>
      <c r="B11" s="6" t="s">
        <v>24</v>
      </c>
      <c r="C11" s="7" t="s">
        <v>25</v>
      </c>
      <c r="D11" s="8">
        <v>1</v>
      </c>
      <c r="E11" s="6" t="s">
        <v>10</v>
      </c>
      <c r="F11" s="6" t="s">
        <v>11</v>
      </c>
      <c r="G11" s="2"/>
    </row>
    <row r="12" spans="1:7" ht="17" customHeight="1" x14ac:dyDescent="0.2">
      <c r="A12" s="2"/>
      <c r="B12" s="2"/>
      <c r="C12" s="3"/>
      <c r="D12" s="2"/>
      <c r="E12" s="2"/>
      <c r="F12" s="2"/>
      <c r="G12" s="2"/>
    </row>
    <row r="13" spans="1:7" ht="17" customHeight="1" x14ac:dyDescent="0.2">
      <c r="A13" s="6" t="s">
        <v>26</v>
      </c>
      <c r="B13" s="6" t="s">
        <v>27</v>
      </c>
      <c r="C13" s="7" t="s">
        <v>28</v>
      </c>
      <c r="D13" s="8">
        <v>3</v>
      </c>
      <c r="E13" s="6" t="s">
        <v>10</v>
      </c>
      <c r="F13" s="6" t="s">
        <v>11</v>
      </c>
      <c r="G13" s="2"/>
    </row>
    <row r="14" spans="1:7" ht="17" customHeight="1" x14ac:dyDescent="0.2">
      <c r="A14" s="2"/>
      <c r="B14" s="6" t="s">
        <v>29</v>
      </c>
      <c r="C14" s="7" t="s">
        <v>30</v>
      </c>
      <c r="D14" s="8">
        <v>3</v>
      </c>
      <c r="E14" s="6" t="s">
        <v>10</v>
      </c>
      <c r="F14" s="6" t="s">
        <v>11</v>
      </c>
      <c r="G14" s="2"/>
    </row>
    <row r="15" spans="1:7" ht="17" customHeight="1" x14ac:dyDescent="0.2">
      <c r="A15" s="2"/>
      <c r="B15" s="6" t="s">
        <v>31</v>
      </c>
      <c r="C15" s="7" t="s">
        <v>32</v>
      </c>
      <c r="D15" s="8">
        <v>3</v>
      </c>
      <c r="E15" s="6" t="s">
        <v>10</v>
      </c>
      <c r="F15" s="6" t="s">
        <v>11</v>
      </c>
      <c r="G15" s="2"/>
    </row>
    <row r="16" spans="1:7" ht="17" customHeight="1" x14ac:dyDescent="0.2">
      <c r="A16" s="2"/>
      <c r="B16" s="6" t="s">
        <v>33</v>
      </c>
      <c r="C16" s="7" t="s">
        <v>34</v>
      </c>
      <c r="D16" s="8">
        <v>3</v>
      </c>
      <c r="E16" s="6" t="s">
        <v>10</v>
      </c>
      <c r="F16" s="6" t="s">
        <v>11</v>
      </c>
      <c r="G16" s="2"/>
    </row>
    <row r="17" spans="1:7" ht="17" customHeight="1" x14ac:dyDescent="0.2">
      <c r="A17" s="2"/>
      <c r="B17" s="6" t="s">
        <v>35</v>
      </c>
      <c r="C17" s="7" t="s">
        <v>36</v>
      </c>
      <c r="D17" s="8">
        <v>3</v>
      </c>
      <c r="E17" s="6" t="s">
        <v>10</v>
      </c>
      <c r="F17" s="6" t="s">
        <v>11</v>
      </c>
      <c r="G17" s="2"/>
    </row>
    <row r="18" spans="1:7" ht="17" customHeight="1" x14ac:dyDescent="0.2">
      <c r="A18" s="9"/>
      <c r="B18" s="6" t="s">
        <v>37</v>
      </c>
      <c r="C18" s="7" t="s">
        <v>38</v>
      </c>
      <c r="D18" s="8">
        <v>3</v>
      </c>
      <c r="E18" s="6" t="s">
        <v>10</v>
      </c>
      <c r="F18" s="6" t="s">
        <v>11</v>
      </c>
      <c r="G18" s="2"/>
    </row>
    <row r="19" spans="1:7" ht="17" customHeight="1" x14ac:dyDescent="0.2">
      <c r="A19" s="2"/>
      <c r="B19" s="6" t="s">
        <v>39</v>
      </c>
      <c r="C19" s="7" t="s">
        <v>40</v>
      </c>
      <c r="D19" s="8">
        <v>3</v>
      </c>
      <c r="E19" s="6" t="s">
        <v>41</v>
      </c>
      <c r="F19" s="6" t="s">
        <v>11</v>
      </c>
      <c r="G19" s="2"/>
    </row>
    <row r="20" spans="1:7" ht="17" customHeight="1" x14ac:dyDescent="0.2">
      <c r="A20" s="2"/>
      <c r="B20" s="6" t="s">
        <v>42</v>
      </c>
      <c r="C20" s="7" t="s">
        <v>43</v>
      </c>
      <c r="D20" s="8">
        <v>3</v>
      </c>
      <c r="E20" s="6" t="s">
        <v>44</v>
      </c>
      <c r="F20" s="6" t="s">
        <v>11</v>
      </c>
      <c r="G20" s="2"/>
    </row>
    <row r="21" spans="1:7" ht="17" customHeight="1" x14ac:dyDescent="0.2">
      <c r="A21" s="2"/>
      <c r="B21" s="6" t="s">
        <v>45</v>
      </c>
      <c r="C21" s="7" t="s">
        <v>46</v>
      </c>
      <c r="D21" s="8">
        <v>3</v>
      </c>
      <c r="E21" s="6" t="s">
        <v>44</v>
      </c>
      <c r="F21" s="6" t="s">
        <v>11</v>
      </c>
      <c r="G21" s="2"/>
    </row>
    <row r="22" spans="1:7" ht="17" customHeight="1" x14ac:dyDescent="0.2">
      <c r="A22" s="2"/>
      <c r="B22" s="6" t="s">
        <v>47</v>
      </c>
      <c r="C22" s="7" t="s">
        <v>48</v>
      </c>
      <c r="D22" s="8">
        <v>3</v>
      </c>
      <c r="E22" s="6" t="s">
        <v>44</v>
      </c>
      <c r="F22" s="6" t="s">
        <v>11</v>
      </c>
      <c r="G22" s="2"/>
    </row>
    <row r="23" spans="1:7" ht="17" customHeight="1" x14ac:dyDescent="0.2">
      <c r="A23" s="2"/>
      <c r="B23" s="6" t="s">
        <v>49</v>
      </c>
      <c r="C23" s="7" t="s">
        <v>50</v>
      </c>
      <c r="D23" s="8">
        <v>3</v>
      </c>
      <c r="E23" s="2"/>
      <c r="F23" s="6" t="s">
        <v>11</v>
      </c>
      <c r="G23" s="2"/>
    </row>
    <row r="24" spans="1:7" ht="17" customHeight="1" x14ac:dyDescent="0.2">
      <c r="A24" s="2"/>
      <c r="B24" s="2"/>
      <c r="C24" s="3"/>
      <c r="D24" s="2"/>
      <c r="E24" s="2"/>
      <c r="F24" s="2"/>
      <c r="G24" s="2"/>
    </row>
    <row r="25" spans="1:7" ht="17" customHeight="1" x14ac:dyDescent="0.2">
      <c r="A25" s="6" t="s">
        <v>51</v>
      </c>
      <c r="B25" s="6" t="s">
        <v>52</v>
      </c>
      <c r="C25" s="7" t="s">
        <v>53</v>
      </c>
      <c r="D25" s="8">
        <v>3</v>
      </c>
      <c r="E25" s="6" t="s">
        <v>10</v>
      </c>
      <c r="F25" s="6" t="s">
        <v>11</v>
      </c>
      <c r="G25" s="2"/>
    </row>
    <row r="26" spans="1:7" ht="17" customHeight="1" x14ac:dyDescent="0.2">
      <c r="A26" s="2"/>
      <c r="B26" s="6" t="s">
        <v>54</v>
      </c>
      <c r="C26" s="7" t="s">
        <v>55</v>
      </c>
      <c r="D26" s="8">
        <v>3</v>
      </c>
      <c r="E26" s="6" t="s">
        <v>10</v>
      </c>
      <c r="F26" s="6" t="s">
        <v>11</v>
      </c>
      <c r="G26" s="2"/>
    </row>
    <row r="27" spans="1:7" ht="17" customHeight="1" x14ac:dyDescent="0.2">
      <c r="A27" s="2"/>
      <c r="B27" s="6" t="s">
        <v>56</v>
      </c>
      <c r="C27" s="7" t="s">
        <v>57</v>
      </c>
      <c r="D27" s="8">
        <v>3</v>
      </c>
      <c r="E27" s="6" t="s">
        <v>10</v>
      </c>
      <c r="F27" s="6" t="s">
        <v>11</v>
      </c>
      <c r="G27" s="2"/>
    </row>
    <row r="28" spans="1:7" ht="17" customHeight="1" x14ac:dyDescent="0.2">
      <c r="A28" s="2"/>
      <c r="B28" s="6" t="s">
        <v>58</v>
      </c>
      <c r="C28" s="7" t="s">
        <v>59</v>
      </c>
      <c r="D28" s="8">
        <v>3</v>
      </c>
      <c r="E28" s="6" t="s">
        <v>10</v>
      </c>
      <c r="F28" s="6" t="s">
        <v>11</v>
      </c>
      <c r="G28" s="2"/>
    </row>
    <row r="29" spans="1:7" ht="17" customHeight="1" x14ac:dyDescent="0.2">
      <c r="A29" s="2"/>
      <c r="B29" s="6" t="s">
        <v>60</v>
      </c>
      <c r="C29" s="7" t="s">
        <v>61</v>
      </c>
      <c r="D29" s="8">
        <v>2</v>
      </c>
      <c r="E29" s="6" t="s">
        <v>10</v>
      </c>
      <c r="F29" s="6" t="s">
        <v>11</v>
      </c>
      <c r="G29" s="2"/>
    </row>
    <row r="30" spans="1:7" ht="17" customHeight="1" x14ac:dyDescent="0.2">
      <c r="A30" s="2"/>
      <c r="B30" s="6" t="s">
        <v>62</v>
      </c>
      <c r="C30" s="7" t="s">
        <v>63</v>
      </c>
      <c r="D30" s="8">
        <v>3</v>
      </c>
      <c r="E30" s="6" t="s">
        <v>10</v>
      </c>
      <c r="F30" s="6" t="s">
        <v>11</v>
      </c>
      <c r="G30" s="2"/>
    </row>
    <row r="31" spans="1:7" ht="17" customHeight="1" x14ac:dyDescent="0.2">
      <c r="A31" s="9"/>
      <c r="B31" s="6" t="s">
        <v>64</v>
      </c>
      <c r="C31" s="7" t="s">
        <v>65</v>
      </c>
      <c r="D31" s="8">
        <v>2</v>
      </c>
      <c r="E31" s="6" t="s">
        <v>10</v>
      </c>
      <c r="F31" s="6" t="s">
        <v>11</v>
      </c>
      <c r="G31" s="2"/>
    </row>
    <row r="32" spans="1:7" ht="17" customHeight="1" x14ac:dyDescent="0.2">
      <c r="A32" s="2"/>
      <c r="B32" s="6" t="s">
        <v>66</v>
      </c>
      <c r="C32" s="7" t="s">
        <v>67</v>
      </c>
      <c r="D32" s="8">
        <v>3</v>
      </c>
      <c r="E32" s="6" t="s">
        <v>10</v>
      </c>
      <c r="F32" s="6" t="s">
        <v>11</v>
      </c>
      <c r="G32" s="2"/>
    </row>
    <row r="33" spans="1:7" ht="17" customHeight="1" x14ac:dyDescent="0.2">
      <c r="A33" s="2"/>
      <c r="B33" s="6" t="s">
        <v>68</v>
      </c>
      <c r="C33" s="7" t="s">
        <v>69</v>
      </c>
      <c r="D33" s="8">
        <v>3</v>
      </c>
      <c r="E33" s="6" t="s">
        <v>10</v>
      </c>
      <c r="F33" s="6" t="s">
        <v>11</v>
      </c>
      <c r="G33" s="2"/>
    </row>
    <row r="34" spans="1:7" ht="17" customHeight="1" x14ac:dyDescent="0.2">
      <c r="A34" s="2"/>
      <c r="B34" s="6" t="s">
        <v>70</v>
      </c>
      <c r="C34" s="7" t="s">
        <v>71</v>
      </c>
      <c r="D34" s="8">
        <v>3</v>
      </c>
      <c r="E34" s="6" t="s">
        <v>10</v>
      </c>
      <c r="F34" s="6" t="s">
        <v>11</v>
      </c>
      <c r="G34" s="2"/>
    </row>
    <row r="35" spans="1:7" ht="17" customHeight="1" x14ac:dyDescent="0.2">
      <c r="A35" s="2"/>
      <c r="B35" s="2"/>
      <c r="C35" s="3"/>
      <c r="D35" s="2"/>
      <c r="E35" s="2"/>
      <c r="F35" s="2"/>
      <c r="G35" s="2"/>
    </row>
    <row r="36" spans="1:7" ht="17" customHeight="1" x14ac:dyDescent="0.2">
      <c r="A36" s="6" t="s">
        <v>72</v>
      </c>
      <c r="B36" s="6" t="s">
        <v>73</v>
      </c>
      <c r="C36" s="7" t="s">
        <v>74</v>
      </c>
      <c r="D36" s="8">
        <v>3</v>
      </c>
      <c r="E36" s="6" t="s">
        <v>44</v>
      </c>
      <c r="F36" s="6" t="s">
        <v>75</v>
      </c>
      <c r="G36" s="2"/>
    </row>
    <row r="37" spans="1:7" ht="17" customHeight="1" x14ac:dyDescent="0.2">
      <c r="A37" s="2"/>
      <c r="B37" s="6" t="s">
        <v>76</v>
      </c>
      <c r="C37" s="7" t="s">
        <v>77</v>
      </c>
      <c r="D37" s="8">
        <v>3</v>
      </c>
      <c r="E37" s="6" t="s">
        <v>44</v>
      </c>
      <c r="F37" s="6" t="s">
        <v>78</v>
      </c>
      <c r="G37" s="2"/>
    </row>
    <row r="38" spans="1:7" ht="17" customHeight="1" x14ac:dyDescent="0.2">
      <c r="A38" s="2"/>
      <c r="B38" s="6" t="s">
        <v>79</v>
      </c>
      <c r="C38" s="7" t="s">
        <v>80</v>
      </c>
      <c r="D38" s="8">
        <v>2</v>
      </c>
      <c r="E38" s="6" t="s">
        <v>44</v>
      </c>
      <c r="F38" s="6" t="s">
        <v>75</v>
      </c>
      <c r="G38" s="2"/>
    </row>
    <row r="39" spans="1:7" ht="17" customHeight="1" x14ac:dyDescent="0.2">
      <c r="A39" s="2"/>
      <c r="B39" s="6" t="s">
        <v>81</v>
      </c>
      <c r="C39" s="7" t="s">
        <v>82</v>
      </c>
      <c r="D39" s="8">
        <v>2</v>
      </c>
      <c r="E39" s="6" t="s">
        <v>44</v>
      </c>
      <c r="F39" s="6" t="s">
        <v>75</v>
      </c>
      <c r="G39" s="2"/>
    </row>
    <row r="40" spans="1:7" ht="17" customHeight="1" x14ac:dyDescent="0.2">
      <c r="A40" s="2"/>
      <c r="B40" s="6" t="s">
        <v>83</v>
      </c>
      <c r="C40" s="7" t="s">
        <v>84</v>
      </c>
      <c r="D40" s="8">
        <v>1</v>
      </c>
      <c r="E40" s="6" t="s">
        <v>44</v>
      </c>
      <c r="F40" s="6" t="s">
        <v>44</v>
      </c>
      <c r="G40" s="2"/>
    </row>
    <row r="41" spans="1:7" ht="16.5" customHeight="1" x14ac:dyDescent="0.2">
      <c r="A41" s="2"/>
      <c r="B41" s="6" t="s">
        <v>85</v>
      </c>
      <c r="C41" s="10" t="s">
        <v>86</v>
      </c>
      <c r="D41" s="8">
        <v>3</v>
      </c>
      <c r="E41" s="2"/>
      <c r="F41" s="6" t="s">
        <v>75</v>
      </c>
      <c r="G41" s="11"/>
    </row>
    <row r="42" spans="1:7" ht="16.5" customHeight="1" x14ac:dyDescent="0.2">
      <c r="A42" s="2"/>
      <c r="B42" s="6" t="s">
        <v>87</v>
      </c>
      <c r="C42" s="10" t="s">
        <v>88</v>
      </c>
      <c r="D42" s="8">
        <v>3</v>
      </c>
      <c r="E42" s="2"/>
      <c r="F42" s="6" t="s">
        <v>75</v>
      </c>
      <c r="G42" s="11"/>
    </row>
    <row r="43" spans="1:7" ht="16.5" customHeight="1" x14ac:dyDescent="0.2">
      <c r="A43" s="2"/>
      <c r="B43" s="6" t="s">
        <v>89</v>
      </c>
      <c r="C43" s="10" t="s">
        <v>90</v>
      </c>
      <c r="D43" s="8">
        <v>3</v>
      </c>
      <c r="E43" s="2"/>
      <c r="F43" s="6" t="s">
        <v>75</v>
      </c>
      <c r="G43" s="12"/>
    </row>
    <row r="44" spans="1:7" ht="16.5" customHeight="1" x14ac:dyDescent="0.2">
      <c r="A44" s="2"/>
      <c r="B44" s="6" t="s">
        <v>91</v>
      </c>
      <c r="C44" s="7" t="s">
        <v>92</v>
      </c>
      <c r="D44" s="8">
        <v>3</v>
      </c>
      <c r="E44" s="2"/>
      <c r="F44" s="6" t="s">
        <v>75</v>
      </c>
      <c r="G44" s="2"/>
    </row>
    <row r="45" spans="1:7" ht="16.5" customHeight="1" x14ac:dyDescent="0.2">
      <c r="A45" s="2"/>
      <c r="B45" s="2"/>
      <c r="C45" s="3"/>
      <c r="D45" s="2"/>
      <c r="E45" s="2"/>
      <c r="F45" s="2"/>
      <c r="G45" s="2"/>
    </row>
    <row r="46" spans="1:7" ht="16.5" customHeight="1" x14ac:dyDescent="0.2">
      <c r="A46" s="6" t="s">
        <v>93</v>
      </c>
      <c r="B46" s="6" t="s">
        <v>94</v>
      </c>
      <c r="C46" s="7" t="s">
        <v>95</v>
      </c>
      <c r="D46" s="8">
        <v>3</v>
      </c>
      <c r="E46" s="6" t="s">
        <v>10</v>
      </c>
      <c r="F46" s="6" t="s">
        <v>11</v>
      </c>
      <c r="G46" s="2"/>
    </row>
    <row r="47" spans="1:7" ht="16.5" customHeight="1" x14ac:dyDescent="0.2">
      <c r="A47" s="2"/>
      <c r="B47" s="6" t="s">
        <v>96</v>
      </c>
      <c r="C47" s="7" t="s">
        <v>97</v>
      </c>
      <c r="D47" s="8">
        <v>3</v>
      </c>
      <c r="E47" s="6" t="s">
        <v>10</v>
      </c>
      <c r="F47" s="6" t="s">
        <v>98</v>
      </c>
      <c r="G47" s="2"/>
    </row>
    <row r="48" spans="1:7" ht="16.5" customHeight="1" x14ac:dyDescent="0.2">
      <c r="A48" s="2"/>
      <c r="B48" s="6" t="s">
        <v>99</v>
      </c>
      <c r="C48" s="7" t="s">
        <v>100</v>
      </c>
      <c r="D48" s="8">
        <v>3</v>
      </c>
      <c r="E48" s="6" t="s">
        <v>10</v>
      </c>
      <c r="F48" s="6" t="s">
        <v>98</v>
      </c>
      <c r="G48" s="2"/>
    </row>
    <row r="49" spans="1:7" ht="16.5" customHeight="1" x14ac:dyDescent="0.2">
      <c r="A49" s="2"/>
      <c r="B49" s="6" t="s">
        <v>101</v>
      </c>
      <c r="C49" s="7" t="s">
        <v>102</v>
      </c>
      <c r="D49" s="8">
        <v>3</v>
      </c>
      <c r="E49" s="6" t="s">
        <v>10</v>
      </c>
      <c r="F49" s="6" t="s">
        <v>98</v>
      </c>
      <c r="G49" s="2"/>
    </row>
    <row r="50" spans="1:7" ht="16.5" customHeight="1" x14ac:dyDescent="0.2">
      <c r="A50" s="2"/>
      <c r="B50" s="2"/>
      <c r="C50" s="3"/>
      <c r="D50" s="2"/>
      <c r="E50" s="2"/>
      <c r="F50" s="2"/>
      <c r="G50" s="2"/>
    </row>
    <row r="51" spans="1:7" ht="16.5" customHeight="1" x14ac:dyDescent="0.2">
      <c r="A51" s="6" t="s">
        <v>103</v>
      </c>
      <c r="B51" s="6" t="s">
        <v>104</v>
      </c>
      <c r="C51" s="7" t="s">
        <v>105</v>
      </c>
      <c r="D51" s="8">
        <v>1</v>
      </c>
      <c r="E51" s="6" t="s">
        <v>44</v>
      </c>
      <c r="F51" s="6" t="s">
        <v>75</v>
      </c>
      <c r="G51" s="2"/>
    </row>
    <row r="52" spans="1:7" ht="17" customHeight="1" x14ac:dyDescent="0.2">
      <c r="A52" s="2"/>
      <c r="B52" s="6" t="s">
        <v>106</v>
      </c>
      <c r="C52" s="7" t="s">
        <v>107</v>
      </c>
      <c r="D52" s="8">
        <v>1</v>
      </c>
      <c r="E52" s="6" t="s">
        <v>44</v>
      </c>
      <c r="F52" s="6" t="s">
        <v>108</v>
      </c>
      <c r="G52" s="2"/>
    </row>
    <row r="53" spans="1:7" ht="16.5" customHeight="1" x14ac:dyDescent="0.2">
      <c r="A53" s="2"/>
      <c r="B53" s="2"/>
      <c r="C53" s="3"/>
      <c r="D53" s="2"/>
      <c r="E53" s="2"/>
      <c r="F53" s="2"/>
      <c r="G53" s="2"/>
    </row>
    <row r="54" spans="1:7" ht="16.5" customHeight="1" x14ac:dyDescent="0.2">
      <c r="A54" s="6" t="s">
        <v>109</v>
      </c>
      <c r="B54" s="6" t="s">
        <v>110</v>
      </c>
      <c r="C54" s="7" t="s">
        <v>111</v>
      </c>
      <c r="D54" s="8">
        <v>1</v>
      </c>
      <c r="E54" s="6" t="s">
        <v>10</v>
      </c>
      <c r="F54" s="6" t="s">
        <v>78</v>
      </c>
      <c r="G54" s="2"/>
    </row>
    <row r="55" spans="1:7" ht="16.5" customHeight="1" x14ac:dyDescent="0.2">
      <c r="A55" s="2"/>
      <c r="B55" s="6" t="s">
        <v>112</v>
      </c>
      <c r="C55" s="7" t="s">
        <v>113</v>
      </c>
      <c r="D55" s="8">
        <v>1</v>
      </c>
      <c r="E55" s="6" t="s">
        <v>10</v>
      </c>
      <c r="F55" s="6" t="s">
        <v>78</v>
      </c>
      <c r="G55" s="2"/>
    </row>
    <row r="56" spans="1:7" ht="16.5" customHeight="1" x14ac:dyDescent="0.2">
      <c r="A56" s="2"/>
      <c r="B56" s="2"/>
      <c r="C56" s="3"/>
      <c r="D56" s="2"/>
      <c r="E56" s="2"/>
      <c r="F56" s="2"/>
      <c r="G56" s="2"/>
    </row>
    <row r="57" spans="1:7" ht="16.5" customHeight="1" x14ac:dyDescent="0.2">
      <c r="A57" s="2"/>
      <c r="B57" s="2"/>
      <c r="C57" s="3"/>
      <c r="D57" s="2"/>
      <c r="E57" s="2"/>
      <c r="F57" s="2"/>
      <c r="G57" s="2"/>
    </row>
    <row r="58" spans="1:7" ht="16.5" customHeight="1" x14ac:dyDescent="0.2">
      <c r="A58" s="2"/>
      <c r="B58" s="2"/>
      <c r="C58" s="3"/>
      <c r="D58" s="2"/>
      <c r="E58" s="2"/>
      <c r="F58" s="2"/>
      <c r="G58" s="2"/>
    </row>
    <row r="59" spans="1:7" ht="16.5" customHeight="1" x14ac:dyDescent="0.2">
      <c r="A59" s="2"/>
      <c r="B59" s="2"/>
      <c r="C59" s="3"/>
      <c r="D59" s="2"/>
      <c r="E59" s="2"/>
      <c r="F59" s="2"/>
      <c r="G59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27"/>
  <sheetViews>
    <sheetView showGridLines="0" workbookViewId="0">
      <pane xSplit="1" topLeftCell="B1" activePane="topRight" state="frozen"/>
      <selection pane="topRight"/>
    </sheetView>
  </sheetViews>
  <sheetFormatPr baseColWidth="10" defaultColWidth="8.83203125" defaultRowHeight="15" customHeight="1" x14ac:dyDescent="0.2"/>
  <cols>
    <col min="1" max="3" width="10.5" style="1" customWidth="1"/>
    <col min="4" max="5" width="9" style="1" customWidth="1"/>
    <col min="6" max="7" width="10.5" style="1" customWidth="1"/>
    <col min="8" max="8" width="9.5" style="1" customWidth="1"/>
    <col min="9" max="9" width="8.1640625" style="1" customWidth="1"/>
    <col min="10" max="16" width="5.5" style="1" customWidth="1"/>
    <col min="17" max="17" width="6.33203125" style="1" customWidth="1"/>
    <col min="18" max="18" width="5.5" style="1" customWidth="1"/>
    <col min="19" max="19" width="6.5" style="1" customWidth="1"/>
    <col min="20" max="20" width="7.5" style="1" customWidth="1"/>
    <col min="21" max="21" width="9.5" style="1" customWidth="1"/>
    <col min="22" max="22" width="10.5" style="1" customWidth="1"/>
    <col min="23" max="30" width="9" style="1" customWidth="1"/>
    <col min="31" max="31" width="4.5" style="1" customWidth="1"/>
    <col min="32" max="32" width="9" style="1" customWidth="1"/>
    <col min="33" max="34" width="5.5" style="1" customWidth="1"/>
    <col min="35" max="35" width="7.5" style="1" customWidth="1"/>
    <col min="36" max="38" width="10.6640625" style="1" customWidth="1"/>
    <col min="39" max="39" width="5.5" style="1" customWidth="1"/>
    <col min="40" max="41" width="11.5" style="1" customWidth="1"/>
    <col min="42" max="42" width="10.6640625" style="1" customWidth="1"/>
    <col min="43" max="43" width="5.6640625" style="1" customWidth="1"/>
    <col min="44" max="44" width="5.5" style="1" customWidth="1"/>
    <col min="45" max="45" width="6.5" style="1" customWidth="1"/>
    <col min="46" max="48" width="8.83203125" style="1" customWidth="1"/>
    <col min="49" max="16384" width="8.83203125" style="1"/>
  </cols>
  <sheetData>
    <row r="1" spans="1:47" ht="16" customHeight="1" x14ac:dyDescent="0.2">
      <c r="A1" s="13" t="s">
        <v>114</v>
      </c>
      <c r="B1" s="13" t="s">
        <v>8</v>
      </c>
      <c r="C1" s="13" t="s">
        <v>12</v>
      </c>
      <c r="D1" s="13" t="s">
        <v>14</v>
      </c>
      <c r="E1" s="13" t="s">
        <v>16</v>
      </c>
      <c r="F1" s="13" t="s">
        <v>18</v>
      </c>
      <c r="G1" s="13" t="s">
        <v>20</v>
      </c>
      <c r="H1" s="13" t="s">
        <v>22</v>
      </c>
      <c r="I1" s="13" t="s">
        <v>24</v>
      </c>
      <c r="J1" s="13" t="s">
        <v>27</v>
      </c>
      <c r="K1" s="13" t="s">
        <v>29</v>
      </c>
      <c r="L1" s="13" t="s">
        <v>31</v>
      </c>
      <c r="M1" s="13" t="s">
        <v>33</v>
      </c>
      <c r="N1" s="13" t="s">
        <v>35</v>
      </c>
      <c r="O1" s="13" t="s">
        <v>37</v>
      </c>
      <c r="P1" s="13" t="s">
        <v>39</v>
      </c>
      <c r="Q1" s="13" t="s">
        <v>42</v>
      </c>
      <c r="R1" s="13" t="s">
        <v>45</v>
      </c>
      <c r="S1" s="13" t="s">
        <v>47</v>
      </c>
      <c r="T1" s="13" t="s">
        <v>49</v>
      </c>
      <c r="U1" s="13" t="s">
        <v>52</v>
      </c>
      <c r="V1" s="13" t="s">
        <v>54</v>
      </c>
      <c r="W1" s="13" t="s">
        <v>56</v>
      </c>
      <c r="X1" s="13" t="s">
        <v>58</v>
      </c>
      <c r="Y1" s="13" t="s">
        <v>60</v>
      </c>
      <c r="Z1" s="13" t="s">
        <v>62</v>
      </c>
      <c r="AA1" s="13" t="s">
        <v>64</v>
      </c>
      <c r="AB1" s="13" t="s">
        <v>66</v>
      </c>
      <c r="AC1" s="13" t="s">
        <v>68</v>
      </c>
      <c r="AD1" s="13" t="s">
        <v>70</v>
      </c>
      <c r="AE1" s="13" t="s">
        <v>73</v>
      </c>
      <c r="AF1" s="13" t="s">
        <v>76</v>
      </c>
      <c r="AG1" s="13" t="s">
        <v>79</v>
      </c>
      <c r="AH1" s="13" t="s">
        <v>81</v>
      </c>
      <c r="AI1" s="13" t="s">
        <v>83</v>
      </c>
      <c r="AJ1" s="13" t="s">
        <v>85</v>
      </c>
      <c r="AK1" s="13" t="s">
        <v>87</v>
      </c>
      <c r="AL1" s="13" t="s">
        <v>89</v>
      </c>
      <c r="AM1" s="13" t="s">
        <v>91</v>
      </c>
      <c r="AN1" s="13" t="s">
        <v>94</v>
      </c>
      <c r="AO1" s="13" t="s">
        <v>96</v>
      </c>
      <c r="AP1" s="13" t="s">
        <v>99</v>
      </c>
      <c r="AQ1" s="13" t="s">
        <v>101</v>
      </c>
      <c r="AR1" s="13" t="s">
        <v>104</v>
      </c>
      <c r="AS1" s="13" t="s">
        <v>106</v>
      </c>
      <c r="AT1" s="13" t="s">
        <v>110</v>
      </c>
      <c r="AU1" s="13" t="s">
        <v>112</v>
      </c>
    </row>
    <row r="2" spans="1:47" ht="16" customHeight="1" x14ac:dyDescent="0.2">
      <c r="A2" s="14" t="s">
        <v>3</v>
      </c>
      <c r="B2" s="15">
        <v>3</v>
      </c>
      <c r="C2" s="15">
        <v>3</v>
      </c>
      <c r="D2" s="15">
        <v>3</v>
      </c>
      <c r="E2" s="15">
        <v>3</v>
      </c>
      <c r="F2" s="15">
        <v>3</v>
      </c>
      <c r="G2" s="15">
        <v>3</v>
      </c>
      <c r="H2" s="15">
        <v>3</v>
      </c>
      <c r="I2" s="15">
        <v>1</v>
      </c>
      <c r="J2" s="15">
        <v>3</v>
      </c>
      <c r="K2" s="15">
        <v>3</v>
      </c>
      <c r="L2" s="15">
        <v>3</v>
      </c>
      <c r="M2" s="15">
        <v>3</v>
      </c>
      <c r="N2" s="15">
        <v>3</v>
      </c>
      <c r="O2" s="15">
        <v>3</v>
      </c>
      <c r="P2" s="15">
        <v>3</v>
      </c>
      <c r="Q2" s="15">
        <v>3</v>
      </c>
      <c r="R2" s="15">
        <v>3</v>
      </c>
      <c r="S2" s="15">
        <v>3</v>
      </c>
      <c r="T2" s="15">
        <v>3</v>
      </c>
      <c r="U2" s="15">
        <v>3</v>
      </c>
      <c r="V2" s="15">
        <v>3</v>
      </c>
      <c r="W2" s="15">
        <v>3</v>
      </c>
      <c r="X2" s="15">
        <v>3</v>
      </c>
      <c r="Y2" s="15">
        <v>2</v>
      </c>
      <c r="Z2" s="15">
        <v>3</v>
      </c>
      <c r="AA2" s="15">
        <v>2</v>
      </c>
      <c r="AB2" s="15">
        <v>3</v>
      </c>
      <c r="AC2" s="15">
        <v>3</v>
      </c>
      <c r="AD2" s="15">
        <v>3</v>
      </c>
      <c r="AE2" s="15">
        <v>3</v>
      </c>
      <c r="AF2" s="15">
        <v>3</v>
      </c>
      <c r="AG2" s="15">
        <v>1</v>
      </c>
      <c r="AH2" s="15">
        <v>1</v>
      </c>
      <c r="AI2" s="15">
        <v>1</v>
      </c>
      <c r="AJ2" s="15">
        <v>3</v>
      </c>
      <c r="AK2" s="15">
        <v>3</v>
      </c>
      <c r="AL2" s="15">
        <v>3</v>
      </c>
      <c r="AM2" s="15">
        <v>3</v>
      </c>
      <c r="AN2" s="15">
        <v>3</v>
      </c>
      <c r="AO2" s="15">
        <v>3</v>
      </c>
      <c r="AP2" s="15">
        <v>3</v>
      </c>
      <c r="AQ2" s="15">
        <v>3</v>
      </c>
      <c r="AR2" s="15">
        <v>1</v>
      </c>
      <c r="AS2" s="15">
        <v>1</v>
      </c>
      <c r="AT2" s="15">
        <v>1</v>
      </c>
      <c r="AU2" s="15">
        <v>1</v>
      </c>
    </row>
    <row r="3" spans="1:47" ht="16" customHeight="1" x14ac:dyDescent="0.2">
      <c r="A3" s="16" t="s">
        <v>115</v>
      </c>
      <c r="B3" s="17">
        <v>1970</v>
      </c>
      <c r="C3" s="17">
        <v>1970</v>
      </c>
      <c r="D3" s="17">
        <v>1970</v>
      </c>
      <c r="E3" s="17">
        <v>1970</v>
      </c>
      <c r="F3" s="17">
        <v>1970</v>
      </c>
      <c r="G3" s="17">
        <v>1970</v>
      </c>
      <c r="H3" s="17">
        <v>1970</v>
      </c>
      <c r="I3" s="17">
        <v>1980</v>
      </c>
      <c r="J3" s="17">
        <v>1970</v>
      </c>
      <c r="K3" s="17">
        <v>1970</v>
      </c>
      <c r="L3" s="17">
        <v>1970</v>
      </c>
      <c r="M3" s="17">
        <v>1970</v>
      </c>
      <c r="N3" s="17">
        <v>1970</v>
      </c>
      <c r="O3" s="17">
        <v>1970</v>
      </c>
      <c r="P3" s="17">
        <v>1970</v>
      </c>
      <c r="Q3" s="17">
        <v>1970</v>
      </c>
      <c r="R3" s="17">
        <v>1970</v>
      </c>
      <c r="S3" s="17">
        <v>1970</v>
      </c>
      <c r="T3" s="17">
        <v>1980</v>
      </c>
      <c r="U3" s="17">
        <v>1970</v>
      </c>
      <c r="V3" s="17">
        <v>1970</v>
      </c>
      <c r="W3" s="17">
        <v>1970</v>
      </c>
      <c r="X3" s="17">
        <v>1970</v>
      </c>
      <c r="Y3" s="17">
        <v>1970</v>
      </c>
      <c r="Z3" s="17">
        <v>1970</v>
      </c>
      <c r="AA3" s="17">
        <v>1970</v>
      </c>
      <c r="AB3" s="17">
        <v>1970</v>
      </c>
      <c r="AC3" s="17">
        <v>1970</v>
      </c>
      <c r="AD3" s="17">
        <v>1970</v>
      </c>
      <c r="AE3" s="17">
        <v>1970</v>
      </c>
      <c r="AF3" s="17">
        <v>1980</v>
      </c>
      <c r="AG3" s="17">
        <v>1970</v>
      </c>
      <c r="AH3" s="17">
        <v>1970</v>
      </c>
      <c r="AI3" s="17">
        <v>1970</v>
      </c>
      <c r="AJ3" s="17">
        <v>1980</v>
      </c>
      <c r="AK3" s="17">
        <v>1980</v>
      </c>
      <c r="AL3" s="17">
        <v>1980</v>
      </c>
      <c r="AM3" s="17">
        <v>1970</v>
      </c>
      <c r="AN3" s="17">
        <v>1970</v>
      </c>
      <c r="AO3" s="17">
        <v>1970</v>
      </c>
      <c r="AP3" s="17">
        <v>1970</v>
      </c>
      <c r="AQ3" s="17">
        <v>1970</v>
      </c>
      <c r="AR3" s="17">
        <v>1980</v>
      </c>
      <c r="AS3" s="17">
        <v>1970</v>
      </c>
      <c r="AT3" s="17">
        <v>1980</v>
      </c>
      <c r="AU3" s="17">
        <v>1980</v>
      </c>
    </row>
    <row r="4" spans="1:47" ht="16" customHeight="1" x14ac:dyDescent="0.2">
      <c r="A4" s="18" t="s">
        <v>116</v>
      </c>
      <c r="B4" s="19">
        <v>1099589.8090778601</v>
      </c>
      <c r="C4" s="19">
        <v>595969.63188632904</v>
      </c>
      <c r="D4" s="19">
        <v>208261.38856461999</v>
      </c>
      <c r="E4" s="19">
        <v>276189.74736558797</v>
      </c>
      <c r="F4" s="19">
        <v>125413.791375427</v>
      </c>
      <c r="G4" s="19">
        <v>128270.67207114999</v>
      </c>
      <c r="H4" s="19">
        <v>46958.167488266699</v>
      </c>
      <c r="I4" s="20"/>
      <c r="J4" s="21">
        <v>11.0084920382447</v>
      </c>
      <c r="K4" s="21">
        <v>11.326965619366099</v>
      </c>
      <c r="L4" s="21">
        <v>8.8817148354292996</v>
      </c>
      <c r="M4" s="21">
        <v>11.9248569222841</v>
      </c>
      <c r="N4" s="21">
        <v>17.958784278178101</v>
      </c>
      <c r="O4" s="21">
        <v>18.040323560425101</v>
      </c>
      <c r="P4" s="21">
        <v>14.2741514910534</v>
      </c>
      <c r="Q4" s="21">
        <v>10.920743655712201</v>
      </c>
      <c r="R4" s="21">
        <v>2.2245466494211099</v>
      </c>
      <c r="S4" s="21">
        <v>30.889377315550501</v>
      </c>
      <c r="T4" s="22"/>
      <c r="U4" s="19">
        <v>59814.407646763299</v>
      </c>
      <c r="V4" s="19">
        <v>124861.514793097</v>
      </c>
      <c r="W4" s="19">
        <v>122879.700368137</v>
      </c>
      <c r="X4" s="19">
        <v>93914.924191836297</v>
      </c>
      <c r="Y4" s="21">
        <v>1.5872099807882101</v>
      </c>
      <c r="Z4" s="19">
        <v>62041811.800681598</v>
      </c>
      <c r="AA4" s="22">
        <v>5.43970189182863E-2</v>
      </c>
      <c r="AB4" s="22">
        <v>0.48677208251293203</v>
      </c>
      <c r="AC4" s="20">
        <v>8.9485065945276805</v>
      </c>
      <c r="AD4" s="20">
        <v>17.723367148117099</v>
      </c>
      <c r="AE4" s="20">
        <v>1.18533190759549</v>
      </c>
      <c r="AF4" s="20"/>
      <c r="AG4" s="20">
        <v>7.9869932180000003</v>
      </c>
      <c r="AH4" s="20">
        <v>7.9228653333333297</v>
      </c>
      <c r="AI4" s="21">
        <f t="shared" ref="AI4:AI67" si="0">AH4-AG4</f>
        <v>-6.4127884666670631E-2</v>
      </c>
      <c r="AJ4" s="20"/>
      <c r="AK4" s="20"/>
      <c r="AL4" s="20"/>
      <c r="AM4" s="20">
        <v>88.6965</v>
      </c>
      <c r="AN4" s="19">
        <v>3750728.4299285202</v>
      </c>
      <c r="AO4" s="20">
        <v>5300.652</v>
      </c>
      <c r="AP4" s="20">
        <v>38.1</v>
      </c>
      <c r="AQ4" s="20">
        <v>36.633000000000003</v>
      </c>
      <c r="AR4" s="22"/>
      <c r="AS4" s="22">
        <v>0.91784609476725298</v>
      </c>
      <c r="AT4" s="22"/>
      <c r="AU4" s="22"/>
    </row>
    <row r="5" spans="1:47" ht="16" customHeight="1" x14ac:dyDescent="0.2">
      <c r="A5" s="18" t="s">
        <v>117</v>
      </c>
      <c r="B5" s="19">
        <v>1120726.02313526</v>
      </c>
      <c r="C5" s="19">
        <v>603386.77438897302</v>
      </c>
      <c r="D5" s="19">
        <v>211949.016550687</v>
      </c>
      <c r="E5" s="19">
        <v>292591.43373370799</v>
      </c>
      <c r="F5" s="19">
        <v>128632.57146430999</v>
      </c>
      <c r="G5" s="19">
        <v>131461.427637363</v>
      </c>
      <c r="H5" s="19">
        <v>48701.256426318701</v>
      </c>
      <c r="I5" s="20"/>
      <c r="J5" s="21">
        <v>11.2368078814256</v>
      </c>
      <c r="K5" s="21">
        <v>11.495367137391201</v>
      </c>
      <c r="L5" s="21">
        <v>9.1727875824105105</v>
      </c>
      <c r="M5" s="21">
        <v>12.1111817796663</v>
      </c>
      <c r="N5" s="21">
        <v>18.394465039402998</v>
      </c>
      <c r="O5" s="21">
        <v>18.460104281732399</v>
      </c>
      <c r="P5" s="21">
        <v>14.434899026747701</v>
      </c>
      <c r="Q5" s="21">
        <v>10.8955079088792</v>
      </c>
      <c r="R5" s="21">
        <v>2.2245466494211099</v>
      </c>
      <c r="S5" s="21">
        <v>30.711237884582999</v>
      </c>
      <c r="T5" s="22"/>
      <c r="U5" s="19">
        <v>62577.175213946</v>
      </c>
      <c r="V5" s="19">
        <v>124905.593814764</v>
      </c>
      <c r="W5" s="19">
        <v>122984.645035111</v>
      </c>
      <c r="X5" s="19">
        <v>94252.524821088504</v>
      </c>
      <c r="Y5" s="21">
        <v>1.53792053741109</v>
      </c>
      <c r="Z5" s="19">
        <v>61913032.1548898</v>
      </c>
      <c r="AA5" s="22">
        <v>5.5836282840015301E-2</v>
      </c>
      <c r="AB5" s="22">
        <v>0.50882104181445298</v>
      </c>
      <c r="AC5" s="20">
        <v>9.1127312910916807</v>
      </c>
      <c r="AD5" s="20">
        <v>18.1016174483509</v>
      </c>
      <c r="AE5" s="20">
        <v>1.19328786734006</v>
      </c>
      <c r="AF5" s="20"/>
      <c r="AG5" s="20">
        <v>7.9565450039999996</v>
      </c>
      <c r="AH5" s="20">
        <v>8.2544389999999996</v>
      </c>
      <c r="AI5" s="21">
        <f t="shared" si="0"/>
        <v>0.29789399599999999</v>
      </c>
      <c r="AJ5" s="20"/>
      <c r="AK5" s="20"/>
      <c r="AL5" s="20"/>
      <c r="AM5" s="20">
        <v>79.201999999999998</v>
      </c>
      <c r="AN5" s="19">
        <v>3835060.0356124402</v>
      </c>
      <c r="AO5" s="20">
        <v>5308.1639999999998</v>
      </c>
      <c r="AP5" s="20">
        <v>38.633000000000003</v>
      </c>
      <c r="AQ5" s="20">
        <v>36.832999999999998</v>
      </c>
      <c r="AR5" s="22"/>
      <c r="AS5" s="22">
        <v>1.02041041056315</v>
      </c>
      <c r="AT5" s="22"/>
      <c r="AU5" s="22"/>
    </row>
    <row r="6" spans="1:47" ht="16" customHeight="1" x14ac:dyDescent="0.2">
      <c r="A6" s="18" t="s">
        <v>118</v>
      </c>
      <c r="B6" s="19">
        <v>1134228.0445414199</v>
      </c>
      <c r="C6" s="19">
        <v>610625.18935556896</v>
      </c>
      <c r="D6" s="19">
        <v>215021.75955454001</v>
      </c>
      <c r="E6" s="19">
        <v>297043.02659523499</v>
      </c>
      <c r="F6" s="19">
        <v>131589.347139914</v>
      </c>
      <c r="G6" s="19">
        <v>135927.19579043699</v>
      </c>
      <c r="H6" s="19">
        <v>49341.444880309798</v>
      </c>
      <c r="I6" s="20"/>
      <c r="J6" s="21">
        <v>11.404717381759101</v>
      </c>
      <c r="K6" s="21">
        <v>11.6893111785802</v>
      </c>
      <c r="L6" s="21">
        <v>9.3105729381722693</v>
      </c>
      <c r="M6" s="21">
        <v>12.286914291371</v>
      </c>
      <c r="N6" s="21">
        <v>18.7587352240038</v>
      </c>
      <c r="O6" s="21">
        <v>18.5523415354108</v>
      </c>
      <c r="P6" s="21">
        <v>14.568972351816701</v>
      </c>
      <c r="Q6" s="21">
        <v>10.7163472460687</v>
      </c>
      <c r="R6" s="21">
        <v>2.2245466494211099</v>
      </c>
      <c r="S6" s="21">
        <v>29.464261868636999</v>
      </c>
      <c r="T6" s="22"/>
      <c r="U6" s="19">
        <v>65093.337594522498</v>
      </c>
      <c r="V6" s="19">
        <v>125131.424308423</v>
      </c>
      <c r="W6" s="19">
        <v>123143.516356982</v>
      </c>
      <c r="X6" s="19">
        <v>94610.699554689098</v>
      </c>
      <c r="Y6" s="21">
        <v>1.5886560569645201</v>
      </c>
      <c r="Z6" s="19">
        <v>61795652.901404597</v>
      </c>
      <c r="AA6" s="22">
        <v>5.7389991287722597E-2</v>
      </c>
      <c r="AB6" s="22">
        <v>0.52859735957046206</v>
      </c>
      <c r="AC6" s="20">
        <v>9.2106192684428105</v>
      </c>
      <c r="AD6" s="20">
        <v>18.354495685175198</v>
      </c>
      <c r="AE6" s="20">
        <v>1.1960333694022101</v>
      </c>
      <c r="AF6" s="20"/>
      <c r="AG6" s="20">
        <v>7.602188806</v>
      </c>
      <c r="AH6" s="20">
        <v>8.3847470000000008</v>
      </c>
      <c r="AI6" s="21">
        <f t="shared" si="0"/>
        <v>0.78255819400000082</v>
      </c>
      <c r="AJ6" s="20"/>
      <c r="AK6" s="20"/>
      <c r="AL6" s="20"/>
      <c r="AM6" s="20">
        <v>78.741399999999999</v>
      </c>
      <c r="AN6" s="19">
        <v>3870869.7765611499</v>
      </c>
      <c r="AO6" s="20">
        <v>5357.0770000000002</v>
      </c>
      <c r="AP6" s="20">
        <v>39.033000000000001</v>
      </c>
      <c r="AQ6" s="20">
        <v>37.033000000000001</v>
      </c>
      <c r="AR6" s="22"/>
      <c r="AS6" s="22">
        <v>1.3098879750569701</v>
      </c>
      <c r="AT6" s="22"/>
      <c r="AU6" s="22"/>
    </row>
    <row r="7" spans="1:47" ht="16" customHeight="1" x14ac:dyDescent="0.2">
      <c r="A7" s="18" t="s">
        <v>119</v>
      </c>
      <c r="B7" s="19">
        <v>1147967.88311474</v>
      </c>
      <c r="C7" s="19">
        <v>622482.53867978801</v>
      </c>
      <c r="D7" s="19">
        <v>218562.34135521701</v>
      </c>
      <c r="E7" s="19">
        <v>295831.10010801302</v>
      </c>
      <c r="F7" s="19">
        <v>133379.00740866401</v>
      </c>
      <c r="G7" s="19">
        <v>136296.536836649</v>
      </c>
      <c r="H7" s="19">
        <v>49379.002129153203</v>
      </c>
      <c r="I7" s="20"/>
      <c r="J7" s="21">
        <v>11.5332537934641</v>
      </c>
      <c r="K7" s="21">
        <v>11.8354298839789</v>
      </c>
      <c r="L7" s="21">
        <v>9.3557388186042907</v>
      </c>
      <c r="M7" s="21">
        <v>12.450809807051099</v>
      </c>
      <c r="N7" s="21">
        <v>19.042888851760399</v>
      </c>
      <c r="O7" s="21">
        <v>18.670119858958799</v>
      </c>
      <c r="P7" s="21">
        <v>14.7526187675549</v>
      </c>
      <c r="Q7" s="21">
        <v>10.6591024746167</v>
      </c>
      <c r="R7" s="21">
        <v>2.2245466494211099</v>
      </c>
      <c r="S7" s="21">
        <v>29.072355120177601</v>
      </c>
      <c r="T7" s="22"/>
      <c r="U7" s="19">
        <v>67482.448099513407</v>
      </c>
      <c r="V7" s="19">
        <v>125333.41268147901</v>
      </c>
      <c r="W7" s="19">
        <v>123359.35709087701</v>
      </c>
      <c r="X7" s="19">
        <v>95065.710239623295</v>
      </c>
      <c r="Y7" s="21">
        <v>1.57504335704836</v>
      </c>
      <c r="Z7" s="19">
        <v>61695517.159954101</v>
      </c>
      <c r="AA7" s="22">
        <v>5.8784264866727401E-2</v>
      </c>
      <c r="AB7" s="22">
        <v>0.547039557362479</v>
      </c>
      <c r="AC7" s="20">
        <v>9.3058841273714794</v>
      </c>
      <c r="AD7" s="20">
        <v>18.606990198955302</v>
      </c>
      <c r="AE7" s="20">
        <v>1.1965249021902999</v>
      </c>
      <c r="AF7" s="20"/>
      <c r="AG7" s="20">
        <v>7.2423084040000001</v>
      </c>
      <c r="AH7" s="20">
        <v>8.3409326666666708</v>
      </c>
      <c r="AI7" s="21">
        <f t="shared" si="0"/>
        <v>1.0986242626666707</v>
      </c>
      <c r="AJ7" s="20"/>
      <c r="AK7" s="20"/>
      <c r="AL7" s="20"/>
      <c r="AM7" s="20">
        <v>86.235699999999994</v>
      </c>
      <c r="AN7" s="19">
        <v>3861348.48463593</v>
      </c>
      <c r="AO7" s="20">
        <v>5299.6719999999996</v>
      </c>
      <c r="AP7" s="20">
        <v>39.6</v>
      </c>
      <c r="AQ7" s="20">
        <v>37.1</v>
      </c>
      <c r="AR7" s="22"/>
      <c r="AS7" s="22">
        <v>0.86475008646647</v>
      </c>
      <c r="AT7" s="22"/>
      <c r="AU7" s="22"/>
    </row>
    <row r="8" spans="1:47" ht="16" customHeight="1" x14ac:dyDescent="0.2">
      <c r="A8" s="18" t="s">
        <v>120</v>
      </c>
      <c r="B8" s="19">
        <v>1145960.6734807701</v>
      </c>
      <c r="C8" s="19">
        <v>626768.78444368404</v>
      </c>
      <c r="D8" s="19">
        <v>219291.62832883699</v>
      </c>
      <c r="E8" s="19">
        <v>294244.55153329001</v>
      </c>
      <c r="F8" s="19">
        <v>136090.98784899301</v>
      </c>
      <c r="G8" s="19">
        <v>138544.84991690601</v>
      </c>
      <c r="H8" s="19">
        <v>50204.0346706821</v>
      </c>
      <c r="I8" s="20"/>
      <c r="J8" s="21">
        <v>11.8432140422029</v>
      </c>
      <c r="K8" s="21">
        <v>12.0013096454985</v>
      </c>
      <c r="L8" s="21">
        <v>9.9955110489055006</v>
      </c>
      <c r="M8" s="21">
        <v>12.772409666014999</v>
      </c>
      <c r="N8" s="21">
        <v>19.182858971550399</v>
      </c>
      <c r="O8" s="21">
        <v>18.843072476799101</v>
      </c>
      <c r="P8" s="21">
        <v>15.022850173958499</v>
      </c>
      <c r="Q8" s="21">
        <v>11.614164372592199</v>
      </c>
      <c r="R8" s="21">
        <v>2.54376410584028</v>
      </c>
      <c r="S8" s="21">
        <v>29.464261868636999</v>
      </c>
      <c r="T8" s="22"/>
      <c r="U8" s="19">
        <v>69846.281214726201</v>
      </c>
      <c r="V8" s="19">
        <v>125589.05520960101</v>
      </c>
      <c r="W8" s="19">
        <v>123578.366644564</v>
      </c>
      <c r="X8" s="19">
        <v>95535.515330753493</v>
      </c>
      <c r="Y8" s="21">
        <v>1.6010062036704</v>
      </c>
      <c r="Z8" s="19">
        <v>61592755.009909697</v>
      </c>
      <c r="AA8" s="22">
        <v>6.0949980947053797E-2</v>
      </c>
      <c r="AB8" s="22">
        <v>0.56519828762276803</v>
      </c>
      <c r="AC8" s="20">
        <v>9.2731495373845192</v>
      </c>
      <c r="AD8" s="20">
        <v>18.605445937536</v>
      </c>
      <c r="AE8" s="20">
        <v>1.1939182888561199</v>
      </c>
      <c r="AF8" s="20">
        <v>0.97238428626993401</v>
      </c>
      <c r="AG8" s="20">
        <v>6.5168982130000002</v>
      </c>
      <c r="AH8" s="20">
        <v>7.8606236666666698</v>
      </c>
      <c r="AI8" s="21">
        <f t="shared" si="0"/>
        <v>1.3437254536666696</v>
      </c>
      <c r="AJ8" s="20"/>
      <c r="AK8" s="20"/>
      <c r="AL8" s="20"/>
      <c r="AM8" s="20">
        <v>96.739500000000007</v>
      </c>
      <c r="AN8" s="19">
        <v>3887844.1795943198</v>
      </c>
      <c r="AO8" s="20">
        <v>5443.6189999999997</v>
      </c>
      <c r="AP8" s="20">
        <v>39.933</v>
      </c>
      <c r="AQ8" s="20">
        <v>37.6</v>
      </c>
      <c r="AR8" s="22"/>
      <c r="AS8" s="22">
        <v>0.90249374389648396</v>
      </c>
      <c r="AT8" s="22"/>
      <c r="AU8" s="22"/>
    </row>
    <row r="9" spans="1:47" ht="16" customHeight="1" x14ac:dyDescent="0.2">
      <c r="A9" s="18" t="s">
        <v>121</v>
      </c>
      <c r="B9" s="19">
        <v>1160640.61352045</v>
      </c>
      <c r="C9" s="19">
        <v>636068.59698243602</v>
      </c>
      <c r="D9" s="19">
        <v>223247.60550019899</v>
      </c>
      <c r="E9" s="19">
        <v>302021.089754368</v>
      </c>
      <c r="F9" s="19">
        <v>135991.59602087899</v>
      </c>
      <c r="G9" s="19">
        <v>137527.42031384201</v>
      </c>
      <c r="H9" s="19">
        <v>51673.491177105301</v>
      </c>
      <c r="I9" s="20"/>
      <c r="J9" s="21">
        <v>11.977587159947401</v>
      </c>
      <c r="K9" s="21">
        <v>12.180782445508401</v>
      </c>
      <c r="L9" s="21">
        <v>10.0498158707004</v>
      </c>
      <c r="M9" s="21">
        <v>12.983322846658201</v>
      </c>
      <c r="N9" s="21">
        <v>19.370075745821001</v>
      </c>
      <c r="O9" s="21">
        <v>19.018344159599401</v>
      </c>
      <c r="P9" s="21">
        <v>15.276235609740899</v>
      </c>
      <c r="Q9" s="21">
        <v>13.9102422242547</v>
      </c>
      <c r="R9" s="21">
        <v>3.4415632020192</v>
      </c>
      <c r="S9" s="21">
        <v>29.3930060955885</v>
      </c>
      <c r="T9" s="22"/>
      <c r="U9" s="19">
        <v>71384.942624858799</v>
      </c>
      <c r="V9" s="19">
        <v>125952.185761282</v>
      </c>
      <c r="W9" s="19">
        <v>123841.254887862</v>
      </c>
      <c r="X9" s="19">
        <v>95833.409835907805</v>
      </c>
      <c r="Y9" s="21">
        <v>1.6759779599387501</v>
      </c>
      <c r="Z9" s="19">
        <v>61517271.334133796</v>
      </c>
      <c r="AA9" s="22">
        <v>6.1504777442118297E-2</v>
      </c>
      <c r="AB9" s="22">
        <v>0.57642295929169796</v>
      </c>
      <c r="AC9" s="20">
        <v>9.3720030095900402</v>
      </c>
      <c r="AD9" s="20">
        <v>18.8669066158084</v>
      </c>
      <c r="AE9" s="20">
        <v>1.20011559875818</v>
      </c>
      <c r="AF9" s="20">
        <v>0.96749226006191902</v>
      </c>
      <c r="AG9" s="20">
        <v>5.9386375290000002</v>
      </c>
      <c r="AH9" s="20">
        <v>7.9307616666666698</v>
      </c>
      <c r="AI9" s="21">
        <f t="shared" si="0"/>
        <v>1.9921241376666696</v>
      </c>
      <c r="AJ9" s="20"/>
      <c r="AK9" s="20"/>
      <c r="AL9" s="20"/>
      <c r="AM9" s="20">
        <v>101.4654</v>
      </c>
      <c r="AN9" s="19">
        <v>3946175.4678778802</v>
      </c>
      <c r="AO9" s="20">
        <v>5473.0590000000002</v>
      </c>
      <c r="AP9" s="20">
        <v>40.299999999999997</v>
      </c>
      <c r="AQ9" s="20">
        <v>38.067</v>
      </c>
      <c r="AR9" s="22"/>
      <c r="AS9" s="22">
        <v>0.79957166035969995</v>
      </c>
      <c r="AT9" s="22"/>
      <c r="AU9" s="22"/>
    </row>
    <row r="10" spans="1:47" ht="16" customHeight="1" x14ac:dyDescent="0.2">
      <c r="A10" s="18" t="s">
        <v>122</v>
      </c>
      <c r="B10" s="19">
        <v>1178741.8550339299</v>
      </c>
      <c r="C10" s="19">
        <v>641618.43941016705</v>
      </c>
      <c r="D10" s="19">
        <v>225661.64976657799</v>
      </c>
      <c r="E10" s="19">
        <v>303448.04427263298</v>
      </c>
      <c r="F10" s="19">
        <v>142499.550743706</v>
      </c>
      <c r="G10" s="19">
        <v>141470.77719624099</v>
      </c>
      <c r="H10" s="19">
        <v>53041.422553124903</v>
      </c>
      <c r="I10" s="20"/>
      <c r="J10" s="21">
        <v>12.1549902864452</v>
      </c>
      <c r="K10" s="21">
        <v>12.377810053624099</v>
      </c>
      <c r="L10" s="21">
        <v>10.318358889709099</v>
      </c>
      <c r="M10" s="21">
        <v>13.1281640052716</v>
      </c>
      <c r="N10" s="21">
        <v>19.556939531884002</v>
      </c>
      <c r="O10" s="21">
        <v>19.385749969084799</v>
      </c>
      <c r="P10" s="21">
        <v>15.4560647156635</v>
      </c>
      <c r="Q10" s="21">
        <v>13.7904564536842</v>
      </c>
      <c r="R10" s="21">
        <v>3.4116365654798999</v>
      </c>
      <c r="S10" s="21">
        <v>29.143610892399298</v>
      </c>
      <c r="T10" s="22"/>
      <c r="U10" s="19">
        <v>73797.244852025804</v>
      </c>
      <c r="V10" s="19">
        <v>125583.85515429301</v>
      </c>
      <c r="W10" s="19">
        <v>123476.815994932</v>
      </c>
      <c r="X10" s="19">
        <v>95987.212663880302</v>
      </c>
      <c r="Y10" s="21">
        <v>1.67779461521755</v>
      </c>
      <c r="Z10" s="19">
        <v>61134642.390353099</v>
      </c>
      <c r="AA10" s="22">
        <v>6.26067909074981E-2</v>
      </c>
      <c r="AB10" s="22">
        <v>0.59766073701685696</v>
      </c>
      <c r="AC10" s="20">
        <v>9.5462605310644904</v>
      </c>
      <c r="AD10" s="20">
        <v>19.281078762307999</v>
      </c>
      <c r="AE10" s="20">
        <v>1.21799391781789</v>
      </c>
      <c r="AF10" s="20">
        <v>0.95165588123334599</v>
      </c>
      <c r="AG10" s="20">
        <v>6.2262125619999997</v>
      </c>
      <c r="AH10" s="20">
        <v>8.02698133333333</v>
      </c>
      <c r="AI10" s="21">
        <f t="shared" si="0"/>
        <v>1.8007687713333302</v>
      </c>
      <c r="AJ10" s="20"/>
      <c r="AK10" s="20"/>
      <c r="AL10" s="20"/>
      <c r="AM10" s="20">
        <v>98.547200000000004</v>
      </c>
      <c r="AN10" s="19">
        <v>3980087.3420051201</v>
      </c>
      <c r="AO10" s="20">
        <v>5518.0720000000001</v>
      </c>
      <c r="AP10" s="20">
        <v>40.700000000000003</v>
      </c>
      <c r="AQ10" s="20">
        <v>38.366999999999997</v>
      </c>
      <c r="AR10" s="22"/>
      <c r="AS10" s="22">
        <v>0.84358848571777301</v>
      </c>
      <c r="AT10" s="22"/>
      <c r="AU10" s="22"/>
    </row>
    <row r="11" spans="1:47" ht="16" customHeight="1" x14ac:dyDescent="0.2">
      <c r="A11" s="18" t="s">
        <v>123</v>
      </c>
      <c r="B11" s="19">
        <v>1188117.2271635099</v>
      </c>
      <c r="C11" s="19">
        <v>649015.36276289902</v>
      </c>
      <c r="D11" s="19">
        <v>227344.32820078099</v>
      </c>
      <c r="E11" s="19">
        <v>307231.32423437602</v>
      </c>
      <c r="F11" s="19">
        <v>142522.955796828</v>
      </c>
      <c r="G11" s="19">
        <v>142754.648162122</v>
      </c>
      <c r="H11" s="19">
        <v>53921.592003946796</v>
      </c>
      <c r="I11" s="20"/>
      <c r="J11" s="21">
        <v>12.322784212433</v>
      </c>
      <c r="K11" s="21">
        <v>12.5212630148028</v>
      </c>
      <c r="L11" s="21">
        <v>10.3954408970092</v>
      </c>
      <c r="M11" s="21">
        <v>13.3084551451806</v>
      </c>
      <c r="N11" s="21">
        <v>19.440137858465899</v>
      </c>
      <c r="O11" s="21">
        <v>19.299732037144501</v>
      </c>
      <c r="P11" s="21">
        <v>15.690365022557399</v>
      </c>
      <c r="Q11" s="21">
        <v>13.8089653880063</v>
      </c>
      <c r="R11" s="21">
        <v>3.3916854744537002</v>
      </c>
      <c r="S11" s="21">
        <v>29.499889754334401</v>
      </c>
      <c r="T11" s="22"/>
      <c r="U11" s="19">
        <v>75847.278173245199</v>
      </c>
      <c r="V11" s="19">
        <v>125745.42100442501</v>
      </c>
      <c r="W11" s="19">
        <v>123472.52488479399</v>
      </c>
      <c r="X11" s="19">
        <v>96273.747980712797</v>
      </c>
      <c r="Y11" s="21">
        <v>1.8075378820763299</v>
      </c>
      <c r="Z11" s="19">
        <v>60940540.1519095</v>
      </c>
      <c r="AA11" s="22">
        <v>6.3838210943478496E-2</v>
      </c>
      <c r="AB11" s="22">
        <v>0.61428466166067697</v>
      </c>
      <c r="AC11" s="20">
        <v>9.62252313437412</v>
      </c>
      <c r="AD11" s="20">
        <v>19.4963356773969</v>
      </c>
      <c r="AE11" s="20">
        <v>1.2196125018366899</v>
      </c>
      <c r="AF11" s="20">
        <v>0.92738569971250995</v>
      </c>
      <c r="AG11" s="20">
        <v>6.005823296</v>
      </c>
      <c r="AH11" s="20">
        <v>7.8460299999999998</v>
      </c>
      <c r="AI11" s="21">
        <f t="shared" si="0"/>
        <v>1.8402067039999999</v>
      </c>
      <c r="AJ11" s="20"/>
      <c r="AK11" s="20"/>
      <c r="AL11" s="20"/>
      <c r="AM11" s="20">
        <v>96.413899999999998</v>
      </c>
      <c r="AN11" s="19">
        <v>3991729.5105472598</v>
      </c>
      <c r="AO11" s="20">
        <v>5531.0320000000002</v>
      </c>
      <c r="AP11" s="20">
        <v>41</v>
      </c>
      <c r="AQ11" s="20">
        <v>38.4</v>
      </c>
      <c r="AR11" s="22"/>
      <c r="AS11" s="22">
        <v>0.951243260701499</v>
      </c>
      <c r="AT11" s="22"/>
      <c r="AU11" s="22"/>
    </row>
    <row r="12" spans="1:47" ht="16" customHeight="1" x14ac:dyDescent="0.2">
      <c r="A12" s="18" t="s">
        <v>124</v>
      </c>
      <c r="B12" s="19">
        <v>1205722.90133656</v>
      </c>
      <c r="C12" s="19">
        <v>660064.98914093501</v>
      </c>
      <c r="D12" s="19">
        <v>231234.18439214199</v>
      </c>
      <c r="E12" s="19">
        <v>310879.46520396799</v>
      </c>
      <c r="F12" s="19">
        <v>148907.94333002099</v>
      </c>
      <c r="G12" s="19">
        <v>149753.684668642</v>
      </c>
      <c r="H12" s="19">
        <v>55536.751567392203</v>
      </c>
      <c r="I12" s="20"/>
      <c r="J12" s="21">
        <v>12.598561131024701</v>
      </c>
      <c r="K12" s="21">
        <v>12.727997148828299</v>
      </c>
      <c r="L12" s="21">
        <v>10.8100927569029</v>
      </c>
      <c r="M12" s="21">
        <v>13.5095841273441</v>
      </c>
      <c r="N12" s="21">
        <v>19.6228278041051</v>
      </c>
      <c r="O12" s="21">
        <v>19.144239005837999</v>
      </c>
      <c r="P12" s="21">
        <v>15.9556591847864</v>
      </c>
      <c r="Q12" s="21">
        <v>14.8349488014257</v>
      </c>
      <c r="R12" s="21">
        <v>3.5679234370336301</v>
      </c>
      <c r="S12" s="21">
        <v>32.706399510096503</v>
      </c>
      <c r="T12" s="22"/>
      <c r="U12" s="19">
        <v>79127.762705427405</v>
      </c>
      <c r="V12" s="19">
        <v>126024.286641889</v>
      </c>
      <c r="W12" s="19">
        <v>123603.309466473</v>
      </c>
      <c r="X12" s="19">
        <v>96670.578044542897</v>
      </c>
      <c r="Y12" s="21">
        <v>1.92104017402234</v>
      </c>
      <c r="Z12" s="19">
        <v>60829971.308638901</v>
      </c>
      <c r="AA12" s="22">
        <v>6.5626822396517001E-2</v>
      </c>
      <c r="AB12" s="22">
        <v>0.64017511381352199</v>
      </c>
      <c r="AC12" s="20">
        <v>9.75477846459769</v>
      </c>
      <c r="AD12" s="20">
        <v>19.821197929207699</v>
      </c>
      <c r="AE12" s="20">
        <v>1.2390221740327401</v>
      </c>
      <c r="AF12" s="20">
        <v>0.88739018546454895</v>
      </c>
      <c r="AG12" s="20">
        <v>5.0466009070000002</v>
      </c>
      <c r="AH12" s="20">
        <v>7.58765133333333</v>
      </c>
      <c r="AI12" s="21">
        <f t="shared" si="0"/>
        <v>2.5410504263333298</v>
      </c>
      <c r="AJ12" s="20"/>
      <c r="AK12" s="20"/>
      <c r="AL12" s="20"/>
      <c r="AM12" s="20">
        <v>105.4301</v>
      </c>
      <c r="AN12" s="19">
        <v>4049779.10868771</v>
      </c>
      <c r="AO12" s="20">
        <v>5632.6490000000003</v>
      </c>
      <c r="AP12" s="20">
        <v>41.332999999999998</v>
      </c>
      <c r="AQ12" s="20">
        <v>39.067</v>
      </c>
      <c r="AR12" s="22"/>
      <c r="AS12" s="22">
        <v>0.78762084960937495</v>
      </c>
      <c r="AT12" s="22"/>
      <c r="AU12" s="22"/>
    </row>
    <row r="13" spans="1:47" ht="16" customHeight="1" x14ac:dyDescent="0.2">
      <c r="A13" s="18" t="s">
        <v>125</v>
      </c>
      <c r="B13" s="19">
        <v>1213841.5776839899</v>
      </c>
      <c r="C13" s="19">
        <v>662967.18842982699</v>
      </c>
      <c r="D13" s="19">
        <v>232540.91807454501</v>
      </c>
      <c r="E13" s="19">
        <v>315245.17975183798</v>
      </c>
      <c r="F13" s="19">
        <v>150490.56960625199</v>
      </c>
      <c r="G13" s="19">
        <v>153632.40143134299</v>
      </c>
      <c r="H13" s="19">
        <v>56791.891244584403</v>
      </c>
      <c r="I13" s="20"/>
      <c r="J13" s="21">
        <v>12.776130832407899</v>
      </c>
      <c r="K13" s="21">
        <v>12.895922582828801</v>
      </c>
      <c r="L13" s="21">
        <v>10.905897233797401</v>
      </c>
      <c r="M13" s="21">
        <v>13.7056039494109</v>
      </c>
      <c r="N13" s="21">
        <v>20.0444161648247</v>
      </c>
      <c r="O13" s="21">
        <v>19.1944443430314</v>
      </c>
      <c r="P13" s="21">
        <v>16.183552957217099</v>
      </c>
      <c r="Q13" s="21">
        <v>15.018095260120999</v>
      </c>
      <c r="R13" s="21">
        <v>3.6310985667680802</v>
      </c>
      <c r="S13" s="21">
        <v>32.848911055366699</v>
      </c>
      <c r="T13" s="22"/>
      <c r="U13" s="19">
        <v>80781.492996494999</v>
      </c>
      <c r="V13" s="19">
        <v>126107.18629945201</v>
      </c>
      <c r="W13" s="19">
        <v>123648.58531675</v>
      </c>
      <c r="X13" s="19">
        <v>96917.096067112201</v>
      </c>
      <c r="Y13" s="21">
        <v>1.9496121155730299</v>
      </c>
      <c r="Z13" s="19">
        <v>60697591.711384803</v>
      </c>
      <c r="AA13" s="22">
        <v>6.6550276808466396E-2</v>
      </c>
      <c r="AB13" s="22">
        <v>0.65331514137066504</v>
      </c>
      <c r="AC13" s="20">
        <v>9.8168658749673501</v>
      </c>
      <c r="AD13" s="20">
        <v>19.998183510406299</v>
      </c>
      <c r="AE13" s="20">
        <v>1.2448677892094</v>
      </c>
      <c r="AF13" s="20">
        <v>0.88206756637558403</v>
      </c>
      <c r="AG13" s="20">
        <v>4.7536779339999997</v>
      </c>
      <c r="AH13" s="20">
        <v>7.5497086666666702</v>
      </c>
      <c r="AI13" s="21">
        <f t="shared" si="0"/>
        <v>2.7960307326666705</v>
      </c>
      <c r="AJ13" s="20"/>
      <c r="AK13" s="20"/>
      <c r="AL13" s="20"/>
      <c r="AM13" s="20">
        <v>108.1536</v>
      </c>
      <c r="AN13" s="19">
        <v>4132618.78198992</v>
      </c>
      <c r="AO13" s="20">
        <v>5760.47</v>
      </c>
      <c r="AP13" s="20">
        <v>41.6</v>
      </c>
      <c r="AQ13" s="20">
        <v>39.5</v>
      </c>
      <c r="AR13" s="22"/>
      <c r="AS13" s="22">
        <v>1.12802159627279</v>
      </c>
      <c r="AT13" s="22"/>
      <c r="AU13" s="22"/>
    </row>
    <row r="14" spans="1:47" ht="16" customHeight="1" x14ac:dyDescent="0.2">
      <c r="A14" s="18" t="s">
        <v>126</v>
      </c>
      <c r="B14" s="19">
        <v>1230439.2677396799</v>
      </c>
      <c r="C14" s="19">
        <v>674928.211930705</v>
      </c>
      <c r="D14" s="19">
        <v>234934.44007771101</v>
      </c>
      <c r="E14" s="19">
        <v>319554.58594065899</v>
      </c>
      <c r="F14" s="19">
        <v>152423.16008580601</v>
      </c>
      <c r="G14" s="19">
        <v>156515.05462083701</v>
      </c>
      <c r="H14" s="19">
        <v>58369.109460531501</v>
      </c>
      <c r="I14" s="20"/>
      <c r="J14" s="21">
        <v>12.957835407590601</v>
      </c>
      <c r="K14" s="21">
        <v>13.1618195555405</v>
      </c>
      <c r="L14" s="21">
        <v>11.09999521484</v>
      </c>
      <c r="M14" s="21">
        <v>13.879499463667401</v>
      </c>
      <c r="N14" s="21">
        <v>20.0413258020935</v>
      </c>
      <c r="O14" s="21">
        <v>19.662607945745201</v>
      </c>
      <c r="P14" s="21">
        <v>16.470980403469799</v>
      </c>
      <c r="Q14" s="21">
        <v>14.8246279304302</v>
      </c>
      <c r="R14" s="21">
        <v>3.61114747574188</v>
      </c>
      <c r="S14" s="21">
        <v>32.065097559274797</v>
      </c>
      <c r="T14" s="22"/>
      <c r="U14" s="19">
        <v>82973.109221999097</v>
      </c>
      <c r="V14" s="19">
        <v>126404.78398675</v>
      </c>
      <c r="W14" s="19">
        <v>123878.786898384</v>
      </c>
      <c r="X14" s="19">
        <v>97262.411194607295</v>
      </c>
      <c r="Y14" s="21">
        <v>1.99833978485444</v>
      </c>
      <c r="Z14" s="19">
        <v>60662929.081779599</v>
      </c>
      <c r="AA14" s="22">
        <v>6.7433729886092295E-2</v>
      </c>
      <c r="AB14" s="22">
        <v>0.669792716730918</v>
      </c>
      <c r="AC14" s="20">
        <v>9.9326066919673401</v>
      </c>
      <c r="AD14" s="20">
        <v>20.2832155710934</v>
      </c>
      <c r="AE14" s="20">
        <v>1.25779223408367</v>
      </c>
      <c r="AF14" s="20">
        <v>0.89285714285714302</v>
      </c>
      <c r="AG14" s="20">
        <v>4.8573328550000001</v>
      </c>
      <c r="AH14" s="20">
        <v>7.5827863333333303</v>
      </c>
      <c r="AI14" s="21">
        <f t="shared" si="0"/>
        <v>2.7254534783333302</v>
      </c>
      <c r="AJ14" s="20"/>
      <c r="AK14" s="20"/>
      <c r="AL14" s="20"/>
      <c r="AM14" s="20">
        <v>109.205</v>
      </c>
      <c r="AN14" s="19">
        <v>4166058.78071552</v>
      </c>
      <c r="AO14" s="20">
        <v>5814.8540000000003</v>
      </c>
      <c r="AP14" s="20">
        <v>41.933</v>
      </c>
      <c r="AQ14" s="20">
        <v>40.1</v>
      </c>
      <c r="AR14" s="22"/>
      <c r="AS14" s="22">
        <v>0.87363560994466105</v>
      </c>
      <c r="AT14" s="22"/>
      <c r="AU14" s="22"/>
    </row>
    <row r="15" spans="1:47" ht="16" customHeight="1" x14ac:dyDescent="0.2">
      <c r="A15" s="18" t="s">
        <v>127</v>
      </c>
      <c r="B15" s="19">
        <v>1248450.75434358</v>
      </c>
      <c r="C15" s="19">
        <v>681747.09823803802</v>
      </c>
      <c r="D15" s="19">
        <v>237557.26650144899</v>
      </c>
      <c r="E15" s="19">
        <v>327152.86382071301</v>
      </c>
      <c r="F15" s="19">
        <v>159767.96904729199</v>
      </c>
      <c r="G15" s="19">
        <v>161851.615993354</v>
      </c>
      <c r="H15" s="19">
        <v>60491.010621832997</v>
      </c>
      <c r="I15" s="20"/>
      <c r="J15" s="21">
        <v>13.1942740442462</v>
      </c>
      <c r="K15" s="21">
        <v>13.4106000056965</v>
      </c>
      <c r="L15" s="21">
        <v>11.1899523665804</v>
      </c>
      <c r="M15" s="21">
        <v>14.0522207900558</v>
      </c>
      <c r="N15" s="21">
        <v>20.758980080342099</v>
      </c>
      <c r="O15" s="21">
        <v>20.1356914668348</v>
      </c>
      <c r="P15" s="21">
        <v>16.8097967419599</v>
      </c>
      <c r="Q15" s="21">
        <v>15.413152212933699</v>
      </c>
      <c r="R15" s="21">
        <v>3.61114747574188</v>
      </c>
      <c r="S15" s="21">
        <v>35.3428630872586</v>
      </c>
      <c r="T15" s="22"/>
      <c r="U15" s="19">
        <v>85776.958424478406</v>
      </c>
      <c r="V15" s="19">
        <v>126771.16230615501</v>
      </c>
      <c r="W15" s="19">
        <v>124286.545372808</v>
      </c>
      <c r="X15" s="19">
        <v>97872.642678643693</v>
      </c>
      <c r="Y15" s="21">
        <v>1.9599228153686299</v>
      </c>
      <c r="Z15" s="19">
        <v>60705388.501621097</v>
      </c>
      <c r="AA15" s="22">
        <v>6.8706721611601795E-2</v>
      </c>
      <c r="AB15" s="22">
        <v>0.69015482059769995</v>
      </c>
      <c r="AC15" s="20">
        <v>10.044938899852299</v>
      </c>
      <c r="AD15" s="20">
        <v>20.5657320570519</v>
      </c>
      <c r="AE15" s="20">
        <v>1.25868369315088</v>
      </c>
      <c r="AF15" s="20">
        <v>0.90375056484410299</v>
      </c>
      <c r="AG15" s="20">
        <v>6.3948429679999998</v>
      </c>
      <c r="AH15" s="20">
        <v>7.8146833333333303</v>
      </c>
      <c r="AI15" s="21">
        <f t="shared" si="0"/>
        <v>1.4198403653333305</v>
      </c>
      <c r="AJ15" s="20"/>
      <c r="AK15" s="20"/>
      <c r="AL15" s="20"/>
      <c r="AM15" s="20">
        <v>114.0008</v>
      </c>
      <c r="AN15" s="19">
        <v>4240163.1352750696</v>
      </c>
      <c r="AO15" s="20">
        <v>5912.22</v>
      </c>
      <c r="AP15" s="20">
        <v>42.366999999999997</v>
      </c>
      <c r="AQ15" s="20">
        <v>40.5</v>
      </c>
      <c r="AR15" s="22"/>
      <c r="AS15" s="22">
        <v>0.71013292948405005</v>
      </c>
      <c r="AT15" s="22"/>
      <c r="AU15" s="22"/>
    </row>
    <row r="16" spans="1:47" ht="16" customHeight="1" x14ac:dyDescent="0.2">
      <c r="A16" s="18" t="s">
        <v>128</v>
      </c>
      <c r="B16" s="19">
        <v>1272486.4635300599</v>
      </c>
      <c r="C16" s="19">
        <v>696018.60774035705</v>
      </c>
      <c r="D16" s="19">
        <v>242087.40765084801</v>
      </c>
      <c r="E16" s="19">
        <v>334037.32848025102</v>
      </c>
      <c r="F16" s="19">
        <v>160831.02068793701</v>
      </c>
      <c r="G16" s="19">
        <v>164816.95778165999</v>
      </c>
      <c r="H16" s="19">
        <v>63424.772009341599</v>
      </c>
      <c r="I16" s="20"/>
      <c r="J16" s="21">
        <v>13.6141216417113</v>
      </c>
      <c r="K16" s="21">
        <v>13.6865375041485</v>
      </c>
      <c r="L16" s="21">
        <v>11.826378405638099</v>
      </c>
      <c r="M16" s="21">
        <v>14.4974732639555</v>
      </c>
      <c r="N16" s="21">
        <v>21.074036273176802</v>
      </c>
      <c r="O16" s="21">
        <v>20.659630681740101</v>
      </c>
      <c r="P16" s="21">
        <v>17.163342276829901</v>
      </c>
      <c r="Q16" s="21">
        <v>16.9669479142905</v>
      </c>
      <c r="R16" s="21">
        <v>3.7707562039514699</v>
      </c>
      <c r="S16" s="21">
        <v>42.112161461544801</v>
      </c>
      <c r="T16" s="22"/>
      <c r="U16" s="19">
        <v>90447.789630973799</v>
      </c>
      <c r="V16" s="19">
        <v>127091.23095708201</v>
      </c>
      <c r="W16" s="19">
        <v>124694.93489007</v>
      </c>
      <c r="X16" s="19">
        <v>98383.606817865904</v>
      </c>
      <c r="Y16" s="21">
        <v>1.8854928455462301</v>
      </c>
      <c r="Z16" s="19">
        <v>60724568.169853099</v>
      </c>
      <c r="AA16" s="22">
        <v>7.1079569192475697E-2</v>
      </c>
      <c r="AB16" s="22">
        <v>0.72535255510347896</v>
      </c>
      <c r="AC16" s="20">
        <v>10.204796727725</v>
      </c>
      <c r="AD16" s="20">
        <v>20.955051668227298</v>
      </c>
      <c r="AE16" s="20">
        <v>1.2769085431648901</v>
      </c>
      <c r="AF16" s="20">
        <v>0.86497707810742996</v>
      </c>
      <c r="AG16" s="20">
        <v>6.7913627769999998</v>
      </c>
      <c r="AH16" s="20">
        <v>7.9758466666666701</v>
      </c>
      <c r="AI16" s="21">
        <f t="shared" si="0"/>
        <v>1.1844838896666703</v>
      </c>
      <c r="AJ16" s="20"/>
      <c r="AK16" s="20"/>
      <c r="AL16" s="20"/>
      <c r="AM16" s="20">
        <v>114.9842</v>
      </c>
      <c r="AN16" s="19">
        <v>4389400.7558247102</v>
      </c>
      <c r="AO16" s="20">
        <v>6058.5439999999999</v>
      </c>
      <c r="AP16" s="20">
        <v>43.033000000000001</v>
      </c>
      <c r="AQ16" s="20">
        <v>42.466999999999999</v>
      </c>
      <c r="AR16" s="22"/>
      <c r="AS16" s="22">
        <v>0.59055727640787803</v>
      </c>
      <c r="AT16" s="22"/>
      <c r="AU16" s="22"/>
    </row>
    <row r="17" spans="1:47" ht="16" customHeight="1" x14ac:dyDescent="0.2">
      <c r="A17" s="18" t="s">
        <v>129</v>
      </c>
      <c r="B17" s="19">
        <v>1287915.29848604</v>
      </c>
      <c r="C17" s="19">
        <v>703120.42930921598</v>
      </c>
      <c r="D17" s="19">
        <v>243373.79911493501</v>
      </c>
      <c r="E17" s="19">
        <v>334365.08556404698</v>
      </c>
      <c r="F17" s="19">
        <v>168973.38687278301</v>
      </c>
      <c r="G17" s="19">
        <v>169504.974165205</v>
      </c>
      <c r="H17" s="19">
        <v>65756.852451490297</v>
      </c>
      <c r="I17" s="20"/>
      <c r="J17" s="21">
        <v>13.943035344002</v>
      </c>
      <c r="K17" s="21">
        <v>14.0623750113282</v>
      </c>
      <c r="L17" s="21">
        <v>11.9462838770985</v>
      </c>
      <c r="M17" s="21">
        <v>14.971897064015</v>
      </c>
      <c r="N17" s="21">
        <v>21.25008521961</v>
      </c>
      <c r="O17" s="21">
        <v>21.334434540282601</v>
      </c>
      <c r="P17" s="21">
        <v>17.579335164020499</v>
      </c>
      <c r="Q17" s="21">
        <v>18.993331284310301</v>
      </c>
      <c r="R17" s="21">
        <v>4.0866518037147799</v>
      </c>
      <c r="S17" s="21">
        <v>49.487133900128399</v>
      </c>
      <c r="T17" s="22"/>
      <c r="U17" s="19">
        <v>93845.946860624405</v>
      </c>
      <c r="V17" s="19">
        <v>127987.700269058</v>
      </c>
      <c r="W17" s="19">
        <v>125303.42372546</v>
      </c>
      <c r="X17" s="19">
        <v>98901.334039255598</v>
      </c>
      <c r="Y17" s="21">
        <v>2.0972925819861401</v>
      </c>
      <c r="Z17" s="19">
        <v>60810595.524717599</v>
      </c>
      <c r="AA17" s="22">
        <v>7.28665518384181E-2</v>
      </c>
      <c r="AB17" s="22">
        <v>0.74894958230543596</v>
      </c>
      <c r="AC17" s="20">
        <v>10.278372770626399</v>
      </c>
      <c r="AD17" s="20">
        <v>21.179126554722501</v>
      </c>
      <c r="AE17" s="20">
        <v>1.30912398741751</v>
      </c>
      <c r="AF17" s="20">
        <v>0.816793269623458</v>
      </c>
      <c r="AG17" s="20">
        <v>8.4854333719999993</v>
      </c>
      <c r="AH17" s="20">
        <v>8.3051809999999993</v>
      </c>
      <c r="AI17" s="21">
        <f t="shared" si="0"/>
        <v>-0.18025237199999999</v>
      </c>
      <c r="AJ17" s="20"/>
      <c r="AK17" s="20"/>
      <c r="AL17" s="20"/>
      <c r="AM17" s="20">
        <v>107.45659999999999</v>
      </c>
      <c r="AN17" s="19">
        <v>4418431.85981593</v>
      </c>
      <c r="AO17" s="20">
        <v>6124.5060000000003</v>
      </c>
      <c r="AP17" s="20">
        <v>43.933</v>
      </c>
      <c r="AQ17" s="20">
        <v>44.533000000000001</v>
      </c>
      <c r="AR17" s="22"/>
      <c r="AS17" s="22">
        <v>0.612311935424805</v>
      </c>
      <c r="AT17" s="22"/>
      <c r="AU17" s="22"/>
    </row>
    <row r="18" spans="1:47" ht="16" customHeight="1" x14ac:dyDescent="0.2">
      <c r="A18" s="18" t="s">
        <v>130</v>
      </c>
      <c r="B18" s="19">
        <v>1305601.5870793101</v>
      </c>
      <c r="C18" s="19">
        <v>706749.17488334898</v>
      </c>
      <c r="D18" s="19">
        <v>244298.16614879901</v>
      </c>
      <c r="E18" s="19">
        <v>336191.36602291401</v>
      </c>
      <c r="F18" s="19">
        <v>171406.833539816</v>
      </c>
      <c r="G18" s="19">
        <v>175984.03233806</v>
      </c>
      <c r="H18" s="19">
        <v>68560.246372395195</v>
      </c>
      <c r="I18" s="20"/>
      <c r="J18" s="21">
        <v>14.325834173879899</v>
      </c>
      <c r="K18" s="21">
        <v>14.440370634652499</v>
      </c>
      <c r="L18" s="21">
        <v>12.390860984339801</v>
      </c>
      <c r="M18" s="21">
        <v>15.4816914875286</v>
      </c>
      <c r="N18" s="21">
        <v>22.3195590039603</v>
      </c>
      <c r="O18" s="21">
        <v>21.986511856941299</v>
      </c>
      <c r="P18" s="21">
        <v>17.936340825005399</v>
      </c>
      <c r="Q18" s="21">
        <v>21.5719637798028</v>
      </c>
      <c r="R18" s="21">
        <v>4.5156002607780401</v>
      </c>
      <c r="S18" s="21">
        <v>58.572244875339003</v>
      </c>
      <c r="T18" s="22"/>
      <c r="U18" s="19">
        <v>97935.514537362498</v>
      </c>
      <c r="V18" s="19">
        <v>128210.359830573</v>
      </c>
      <c r="W18" s="19">
        <v>125784.745447351</v>
      </c>
      <c r="X18" s="19">
        <v>99408.874263449194</v>
      </c>
      <c r="Y18" s="21">
        <v>1.8919020166759899</v>
      </c>
      <c r="Z18" s="19">
        <v>60800405.263882101</v>
      </c>
      <c r="AA18" s="22">
        <v>7.5011791887025003E-2</v>
      </c>
      <c r="AB18" s="22">
        <v>0.778596118226075</v>
      </c>
      <c r="AC18" s="20">
        <v>10.3796496342697</v>
      </c>
      <c r="AD18" s="20">
        <v>21.4735671812189</v>
      </c>
      <c r="AE18" s="20">
        <v>1.4065003877967499</v>
      </c>
      <c r="AF18" s="20">
        <v>0.76804915514592897</v>
      </c>
      <c r="AG18" s="20">
        <v>10.211200034999999</v>
      </c>
      <c r="AH18" s="20">
        <v>8.60193266666667</v>
      </c>
      <c r="AI18" s="21">
        <f t="shared" si="0"/>
        <v>-1.6092673683333292</v>
      </c>
      <c r="AJ18" s="20"/>
      <c r="AK18" s="20"/>
      <c r="AL18" s="20"/>
      <c r="AM18" s="20">
        <v>104.9971</v>
      </c>
      <c r="AN18" s="19">
        <v>4404099.8983227797</v>
      </c>
      <c r="AO18" s="20">
        <v>6092.3010000000004</v>
      </c>
      <c r="AP18" s="20">
        <v>44.8</v>
      </c>
      <c r="AQ18" s="20">
        <v>46.366999999999997</v>
      </c>
      <c r="AR18" s="22"/>
      <c r="AS18" s="22">
        <v>0.67859385172525999</v>
      </c>
      <c r="AT18" s="22"/>
      <c r="AU18" s="22"/>
    </row>
    <row r="19" spans="1:47" ht="16" customHeight="1" x14ac:dyDescent="0.2">
      <c r="A19" s="18" t="s">
        <v>131</v>
      </c>
      <c r="B19" s="19">
        <v>1319866.7204745701</v>
      </c>
      <c r="C19" s="19">
        <v>713770.48708707199</v>
      </c>
      <c r="D19" s="19">
        <v>248231.276361995</v>
      </c>
      <c r="E19" s="19">
        <v>337215.90112072701</v>
      </c>
      <c r="F19" s="19">
        <v>171248.64938318299</v>
      </c>
      <c r="G19" s="19">
        <v>178098.219268093</v>
      </c>
      <c r="H19" s="19">
        <v>69795.873893116397</v>
      </c>
      <c r="I19" s="20"/>
      <c r="J19" s="21">
        <v>14.633910695173</v>
      </c>
      <c r="K19" s="21">
        <v>14.899849027935399</v>
      </c>
      <c r="L19" s="21">
        <v>12.770187520797201</v>
      </c>
      <c r="M19" s="21">
        <v>15.980332947391799</v>
      </c>
      <c r="N19" s="21">
        <v>23.4310141170718</v>
      </c>
      <c r="O19" s="21">
        <v>23.493739526915</v>
      </c>
      <c r="P19" s="21">
        <v>18.408230801896501</v>
      </c>
      <c r="Q19" s="21">
        <v>22.017510642677099</v>
      </c>
      <c r="R19" s="21">
        <v>4.5887509360256002</v>
      </c>
      <c r="S19" s="21">
        <v>60.175499753220002</v>
      </c>
      <c r="T19" s="22"/>
      <c r="U19" s="19">
        <v>102162.640911262</v>
      </c>
      <c r="V19" s="19">
        <v>128531.502528622</v>
      </c>
      <c r="W19" s="19">
        <v>126063.839744795</v>
      </c>
      <c r="X19" s="19">
        <v>99747.300906586606</v>
      </c>
      <c r="Y19" s="21">
        <v>1.91988947089259</v>
      </c>
      <c r="Z19" s="19">
        <v>60664087.556171797</v>
      </c>
      <c r="AA19" s="22">
        <v>7.7403755490197096E-2</v>
      </c>
      <c r="AB19" s="22">
        <v>0.81040400735120499</v>
      </c>
      <c r="AC19" s="20">
        <v>10.469828010526401</v>
      </c>
      <c r="AD19" s="20">
        <v>21.756969792918198</v>
      </c>
      <c r="AE19" s="20">
        <v>1.38035452467834</v>
      </c>
      <c r="AF19" s="20">
        <v>0.80353555644837305</v>
      </c>
      <c r="AG19" s="20">
        <v>11.082562958</v>
      </c>
      <c r="AH19" s="20">
        <v>8.7159256666666707</v>
      </c>
      <c r="AI19" s="21">
        <f t="shared" si="0"/>
        <v>-2.3666372913333298</v>
      </c>
      <c r="AJ19" s="20"/>
      <c r="AK19" s="20"/>
      <c r="AL19" s="20"/>
      <c r="AM19" s="20">
        <v>102.1561</v>
      </c>
      <c r="AN19" s="19">
        <v>4430287.7011089297</v>
      </c>
      <c r="AO19" s="20">
        <v>6150.1310000000003</v>
      </c>
      <c r="AP19" s="20">
        <v>45.933</v>
      </c>
      <c r="AQ19" s="20">
        <v>46.732999999999997</v>
      </c>
      <c r="AR19" s="22"/>
      <c r="AS19" s="22">
        <v>1.18526949564616</v>
      </c>
      <c r="AT19" s="22"/>
      <c r="AU19" s="22"/>
    </row>
    <row r="20" spans="1:47" ht="16" customHeight="1" x14ac:dyDescent="0.2">
      <c r="A20" s="18" t="s">
        <v>132</v>
      </c>
      <c r="B20" s="19">
        <v>1332934.5128023501</v>
      </c>
      <c r="C20" s="19">
        <v>714511.13132182998</v>
      </c>
      <c r="D20" s="19">
        <v>252153.761380471</v>
      </c>
      <c r="E20" s="19">
        <v>336060.832161867</v>
      </c>
      <c r="F20" s="19">
        <v>180848.12814860401</v>
      </c>
      <c r="G20" s="19">
        <v>176673.76323933899</v>
      </c>
      <c r="H20" s="19">
        <v>73435.482359972098</v>
      </c>
      <c r="I20" s="20"/>
      <c r="J20" s="21">
        <v>15.129965865953499</v>
      </c>
      <c r="K20" s="21">
        <v>15.452022877527099</v>
      </c>
      <c r="L20" s="21">
        <v>13.331804624938</v>
      </c>
      <c r="M20" s="21">
        <v>16.723178587635001</v>
      </c>
      <c r="N20" s="21">
        <v>25.2019412465968</v>
      </c>
      <c r="O20" s="21">
        <v>27.417601368759598</v>
      </c>
      <c r="P20" s="21">
        <v>19.0373512654648</v>
      </c>
      <c r="Q20" s="21">
        <v>47.685376595811299</v>
      </c>
      <c r="R20" s="21">
        <v>15.462095545303599</v>
      </c>
      <c r="S20" s="21">
        <v>67.158565443344202</v>
      </c>
      <c r="T20" s="22"/>
      <c r="U20" s="19">
        <v>106541.55657256</v>
      </c>
      <c r="V20" s="19">
        <v>128674.272776706</v>
      </c>
      <c r="W20" s="19">
        <v>126144.619745256</v>
      </c>
      <c r="X20" s="19">
        <v>99975.030007340407</v>
      </c>
      <c r="Y20" s="21">
        <v>1.96593536288256</v>
      </c>
      <c r="Z20" s="19">
        <v>60414139.539259002</v>
      </c>
      <c r="AA20" s="22">
        <v>7.9930075745857407E-2</v>
      </c>
      <c r="AB20" s="22">
        <v>0.84459849962460298</v>
      </c>
      <c r="AC20" s="20">
        <v>10.566717117972701</v>
      </c>
      <c r="AD20" s="20">
        <v>22.063287219975599</v>
      </c>
      <c r="AE20" s="20">
        <v>1.3211129284493299</v>
      </c>
      <c r="AF20" s="20">
        <v>0.86692674469007402</v>
      </c>
      <c r="AG20" s="20">
        <v>11.226946358999999</v>
      </c>
      <c r="AH20" s="20">
        <v>9.3402910000000006</v>
      </c>
      <c r="AI20" s="21">
        <f t="shared" si="0"/>
        <v>-1.8866553589999988</v>
      </c>
      <c r="AJ20" s="20"/>
      <c r="AK20" s="20"/>
      <c r="AL20" s="20"/>
      <c r="AM20" s="20">
        <v>95.667900000000003</v>
      </c>
      <c r="AN20" s="19">
        <v>4356600.0751276901</v>
      </c>
      <c r="AO20" s="20">
        <v>6097.2579999999998</v>
      </c>
      <c r="AP20" s="20">
        <v>47.3</v>
      </c>
      <c r="AQ20" s="20">
        <v>49.866999999999997</v>
      </c>
      <c r="AR20" s="22"/>
      <c r="AS20" s="22">
        <v>0.76054026285807297</v>
      </c>
      <c r="AT20" s="22"/>
      <c r="AU20" s="22"/>
    </row>
    <row r="21" spans="1:47" ht="16" customHeight="1" x14ac:dyDescent="0.2">
      <c r="A21" s="18" t="s">
        <v>133</v>
      </c>
      <c r="B21" s="19">
        <v>1335346.41815472</v>
      </c>
      <c r="C21" s="19">
        <v>721267.09933814697</v>
      </c>
      <c r="D21" s="19">
        <v>254556.97099577999</v>
      </c>
      <c r="E21" s="19">
        <v>327129.914837841</v>
      </c>
      <c r="F21" s="19">
        <v>176843.057614444</v>
      </c>
      <c r="G21" s="19">
        <v>176195.30665824999</v>
      </c>
      <c r="H21" s="19">
        <v>74246.1705361106</v>
      </c>
      <c r="I21" s="20"/>
      <c r="J21" s="21">
        <v>15.660191062392601</v>
      </c>
      <c r="K21" s="21">
        <v>16.038978258009301</v>
      </c>
      <c r="L21" s="21">
        <v>13.8476295985381</v>
      </c>
      <c r="M21" s="21">
        <v>17.480477791320801</v>
      </c>
      <c r="N21" s="21">
        <v>26.9792823842998</v>
      </c>
      <c r="O21" s="21">
        <v>30.052843373469599</v>
      </c>
      <c r="P21" s="21">
        <v>19.6772534073597</v>
      </c>
      <c r="Q21" s="21">
        <v>43.575405969637799</v>
      </c>
      <c r="R21" s="21">
        <v>12.968209167028901</v>
      </c>
      <c r="S21" s="21">
        <v>69.795029020506306</v>
      </c>
      <c r="T21" s="22"/>
      <c r="U21" s="19">
        <v>112105.27863322</v>
      </c>
      <c r="V21" s="19">
        <v>128591.618823998</v>
      </c>
      <c r="W21" s="19">
        <v>126023.00344383701</v>
      </c>
      <c r="X21" s="19">
        <v>100083.481493463</v>
      </c>
      <c r="Y21" s="21">
        <v>1.99749828460971</v>
      </c>
      <c r="Z21" s="19">
        <v>60068258.955356799</v>
      </c>
      <c r="AA21" s="22">
        <v>8.3952206790006506E-2</v>
      </c>
      <c r="AB21" s="22">
        <v>0.889562028913081</v>
      </c>
      <c r="AC21" s="20">
        <v>10.5960529559179</v>
      </c>
      <c r="AD21" s="20">
        <v>22.230483143304699</v>
      </c>
      <c r="AE21" s="20">
        <v>1.34476960601261</v>
      </c>
      <c r="AF21" s="20">
        <v>0.82460625051537895</v>
      </c>
      <c r="AG21" s="20">
        <v>11.465486577</v>
      </c>
      <c r="AH21" s="20">
        <v>10.064460333333299</v>
      </c>
      <c r="AI21" s="21">
        <f t="shared" si="0"/>
        <v>-1.4010262436667009</v>
      </c>
      <c r="AJ21" s="20"/>
      <c r="AK21" s="20"/>
      <c r="AL21" s="20"/>
      <c r="AM21" s="20">
        <v>90.616799999999998</v>
      </c>
      <c r="AN21" s="19">
        <v>4408911.5308792898</v>
      </c>
      <c r="AO21" s="20">
        <v>6111.7510000000002</v>
      </c>
      <c r="AP21" s="20">
        <v>48.567</v>
      </c>
      <c r="AQ21" s="20">
        <v>51.6</v>
      </c>
      <c r="AR21" s="22"/>
      <c r="AS21" s="22">
        <v>0.67835884094238297</v>
      </c>
      <c r="AT21" s="22"/>
      <c r="AU21" s="22"/>
    </row>
    <row r="22" spans="1:47" ht="16" customHeight="1" x14ac:dyDescent="0.2">
      <c r="A22" s="18" t="s">
        <v>134</v>
      </c>
      <c r="B22" s="19">
        <v>1344443.34902732</v>
      </c>
      <c r="C22" s="19">
        <v>725947.95094220899</v>
      </c>
      <c r="D22" s="19">
        <v>256635.399405795</v>
      </c>
      <c r="E22" s="19">
        <v>327436.51768395799</v>
      </c>
      <c r="F22" s="19">
        <v>182722.08599749199</v>
      </c>
      <c r="G22" s="19">
        <v>181408.60256515001</v>
      </c>
      <c r="H22" s="19">
        <v>78912.024148168304</v>
      </c>
      <c r="I22" s="20"/>
      <c r="J22" s="21">
        <v>16.217551300946901</v>
      </c>
      <c r="K22" s="21">
        <v>16.543277688180002</v>
      </c>
      <c r="L22" s="21">
        <v>14.3277738454267</v>
      </c>
      <c r="M22" s="21">
        <v>18.2889459926329</v>
      </c>
      <c r="N22" s="21">
        <v>28.104195663086301</v>
      </c>
      <c r="O22" s="21">
        <v>31.1639529387453</v>
      </c>
      <c r="P22" s="21">
        <v>20.253607473930099</v>
      </c>
      <c r="Q22" s="21">
        <v>40.018045681530602</v>
      </c>
      <c r="R22" s="21">
        <v>11.471877340063999</v>
      </c>
      <c r="S22" s="21">
        <v>67.799867394992802</v>
      </c>
      <c r="T22" s="22"/>
      <c r="U22" s="19">
        <v>116446.720119491</v>
      </c>
      <c r="V22" s="19">
        <v>128661.405014155</v>
      </c>
      <c r="W22" s="19">
        <v>125897.079878005</v>
      </c>
      <c r="X22" s="19">
        <v>99979.779589025202</v>
      </c>
      <c r="Y22" s="21">
        <v>2.1485270861496599</v>
      </c>
      <c r="Z22" s="19">
        <v>59743493.269393899</v>
      </c>
      <c r="AA22" s="22">
        <v>8.6613333469006501E-2</v>
      </c>
      <c r="AB22" s="22">
        <v>0.92493583038088201</v>
      </c>
      <c r="AC22" s="20">
        <v>10.6789081234457</v>
      </c>
      <c r="AD22" s="20">
        <v>22.5035945415007</v>
      </c>
      <c r="AE22" s="20">
        <v>1.34340653576283</v>
      </c>
      <c r="AF22" s="20">
        <v>0.83864475008386496</v>
      </c>
      <c r="AG22" s="20">
        <v>11.524151691</v>
      </c>
      <c r="AH22" s="20">
        <v>10.6978833333333</v>
      </c>
      <c r="AI22" s="21">
        <f t="shared" si="0"/>
        <v>-0.82626835766670048</v>
      </c>
      <c r="AJ22" s="20"/>
      <c r="AK22" s="20"/>
      <c r="AL22" s="20"/>
      <c r="AM22" s="20">
        <v>75.739699999999999</v>
      </c>
      <c r="AN22" s="19">
        <v>4405746.4184530396</v>
      </c>
      <c r="AO22" s="20">
        <v>6053.9780000000001</v>
      </c>
      <c r="AP22" s="20">
        <v>49.933</v>
      </c>
      <c r="AQ22" s="20">
        <v>55.267000000000003</v>
      </c>
      <c r="AR22" s="22"/>
      <c r="AS22" s="22">
        <v>0.71422138214111297</v>
      </c>
      <c r="AT22" s="22"/>
      <c r="AU22" s="22"/>
    </row>
    <row r="23" spans="1:47" ht="16" customHeight="1" x14ac:dyDescent="0.2">
      <c r="A23" s="18" t="s">
        <v>135</v>
      </c>
      <c r="B23" s="19">
        <v>1323020.71431318</v>
      </c>
      <c r="C23" s="19">
        <v>718963.46570890897</v>
      </c>
      <c r="D23" s="19">
        <v>259210.92045070601</v>
      </c>
      <c r="E23" s="19">
        <v>317803.24539383699</v>
      </c>
      <c r="F23" s="19">
        <v>176906.21612033999</v>
      </c>
      <c r="G23" s="19">
        <v>168350.06886597999</v>
      </c>
      <c r="H23" s="19">
        <v>77696.7742710655</v>
      </c>
      <c r="I23" s="20"/>
      <c r="J23" s="21">
        <v>16.764103859904399</v>
      </c>
      <c r="K23" s="21">
        <v>17.131400334505798</v>
      </c>
      <c r="L23" s="21">
        <v>14.858952785633001</v>
      </c>
      <c r="M23" s="21">
        <v>18.908916626727699</v>
      </c>
      <c r="N23" s="21">
        <v>29.170033832319099</v>
      </c>
      <c r="O23" s="21">
        <v>31.9421933819362</v>
      </c>
      <c r="P23" s="21">
        <v>20.907105358639001</v>
      </c>
      <c r="Q23" s="21">
        <v>41.014359842376201</v>
      </c>
      <c r="R23" s="21">
        <v>11.671388250326</v>
      </c>
      <c r="S23" s="21">
        <v>70.258191541187301</v>
      </c>
      <c r="T23" s="22"/>
      <c r="U23" s="19">
        <v>121511.890573507</v>
      </c>
      <c r="V23" s="19">
        <v>128909.35008971</v>
      </c>
      <c r="W23" s="19">
        <v>125562.357295083</v>
      </c>
      <c r="X23" s="19">
        <v>99755.645576968702</v>
      </c>
      <c r="Y23" s="21">
        <v>2.5963925753235899</v>
      </c>
      <c r="Z23" s="19">
        <v>59380926.784318097</v>
      </c>
      <c r="AA23" s="22">
        <v>9.1844284264730403E-2</v>
      </c>
      <c r="AB23" s="22">
        <v>0.96774139313060403</v>
      </c>
      <c r="AC23" s="20">
        <v>10.536762313278</v>
      </c>
      <c r="AD23" s="20">
        <v>22.280230133804199</v>
      </c>
      <c r="AE23" s="20">
        <v>1.36375287443145</v>
      </c>
      <c r="AF23" s="20">
        <v>0.82501443775266103</v>
      </c>
      <c r="AG23" s="20">
        <v>10.65978015</v>
      </c>
      <c r="AH23" s="20">
        <v>10.587163333333301</v>
      </c>
      <c r="AI23" s="21">
        <f t="shared" si="0"/>
        <v>-7.2616816666698725E-2</v>
      </c>
      <c r="AJ23" s="20"/>
      <c r="AK23" s="20"/>
      <c r="AL23" s="20"/>
      <c r="AM23" s="20">
        <v>69.383899999999997</v>
      </c>
      <c r="AN23" s="19">
        <v>4342768.0476814797</v>
      </c>
      <c r="AO23" s="20">
        <v>6030.4639999999999</v>
      </c>
      <c r="AP23" s="20">
        <v>51.466999999999999</v>
      </c>
      <c r="AQ23" s="20">
        <v>57.2</v>
      </c>
      <c r="AR23" s="22"/>
      <c r="AS23" s="22">
        <v>0.66957842508951804</v>
      </c>
      <c r="AT23" s="22"/>
      <c r="AU23" s="22"/>
    </row>
    <row r="24" spans="1:47" ht="16" customHeight="1" x14ac:dyDescent="0.2">
      <c r="A24" s="18" t="s">
        <v>136</v>
      </c>
      <c r="B24" s="19">
        <v>1310672.66890599</v>
      </c>
      <c r="C24" s="19">
        <v>723685.95040985895</v>
      </c>
      <c r="D24" s="19">
        <v>262272.10254349199</v>
      </c>
      <c r="E24" s="19">
        <v>313295.20853337599</v>
      </c>
      <c r="F24" s="19">
        <v>172860.903638527</v>
      </c>
      <c r="G24" s="19">
        <v>160570.07771277099</v>
      </c>
      <c r="H24" s="19">
        <v>78329.772714531704</v>
      </c>
      <c r="I24" s="20"/>
      <c r="J24" s="21">
        <v>17.198821508022299</v>
      </c>
      <c r="K24" s="21">
        <v>17.535738639350399</v>
      </c>
      <c r="L24" s="21">
        <v>15.147765581058099</v>
      </c>
      <c r="M24" s="21">
        <v>19.318211033028099</v>
      </c>
      <c r="N24" s="21">
        <v>29.100350201474502</v>
      </c>
      <c r="O24" s="21">
        <v>31.534438036201099</v>
      </c>
      <c r="P24" s="21">
        <v>21.240893378589</v>
      </c>
      <c r="Q24" s="21">
        <v>39.058772867021602</v>
      </c>
      <c r="R24" s="21">
        <v>11.471877340063999</v>
      </c>
      <c r="S24" s="21">
        <v>63.809544143138901</v>
      </c>
      <c r="T24" s="22">
        <v>12.69</v>
      </c>
      <c r="U24" s="19">
        <v>124938.350368643</v>
      </c>
      <c r="V24" s="19">
        <v>128838.712770026</v>
      </c>
      <c r="W24" s="19">
        <v>125088.24554438901</v>
      </c>
      <c r="X24" s="19">
        <v>99395.806798082995</v>
      </c>
      <c r="Y24" s="21">
        <v>2.9109784978459201</v>
      </c>
      <c r="Z24" s="19">
        <v>59054325.531784698</v>
      </c>
      <c r="AA24" s="22">
        <v>9.5323838920764195E-2</v>
      </c>
      <c r="AB24" s="22">
        <v>0.99880168456201301</v>
      </c>
      <c r="AC24" s="20">
        <v>10.4779842678414</v>
      </c>
      <c r="AD24" s="20">
        <v>22.194355063805599</v>
      </c>
      <c r="AE24" s="20">
        <v>1.4206842834962301</v>
      </c>
      <c r="AF24" s="20">
        <v>0.77501356273734801</v>
      </c>
      <c r="AG24" s="20">
        <v>8.8139351779999995</v>
      </c>
      <c r="AH24" s="20">
        <v>9.8985153333333304</v>
      </c>
      <c r="AI24" s="21">
        <f t="shared" si="0"/>
        <v>1.084580155333331</v>
      </c>
      <c r="AJ24" s="20"/>
      <c r="AK24" s="20"/>
      <c r="AL24" s="20"/>
      <c r="AM24" s="20">
        <v>78.780699999999996</v>
      </c>
      <c r="AN24" s="19">
        <v>4327522.8611111697</v>
      </c>
      <c r="AO24" s="20">
        <v>5957.0349999999999</v>
      </c>
      <c r="AP24" s="20">
        <v>52.567</v>
      </c>
      <c r="AQ24" s="20">
        <v>57.167000000000002</v>
      </c>
      <c r="AR24" s="22"/>
      <c r="AS24" s="22">
        <v>0.82074424743652397</v>
      </c>
      <c r="AT24" s="22"/>
      <c r="AU24" s="22"/>
    </row>
    <row r="25" spans="1:47" ht="16" customHeight="1" x14ac:dyDescent="0.2">
      <c r="A25" s="18" t="s">
        <v>137</v>
      </c>
      <c r="B25" s="19">
        <v>1317439.97172871</v>
      </c>
      <c r="C25" s="19">
        <v>733881.61920139997</v>
      </c>
      <c r="D25" s="19">
        <v>265585.45389331097</v>
      </c>
      <c r="E25" s="19">
        <v>308976.691582789</v>
      </c>
      <c r="F25" s="19">
        <v>172624.82325873899</v>
      </c>
      <c r="G25" s="19">
        <v>163331.28110060701</v>
      </c>
      <c r="H25" s="19">
        <v>80818.420840908293</v>
      </c>
      <c r="I25" s="20"/>
      <c r="J25" s="21">
        <v>17.629068108822299</v>
      </c>
      <c r="K25" s="21">
        <v>17.943969711199401</v>
      </c>
      <c r="L25" s="21">
        <v>15.713220368683601</v>
      </c>
      <c r="M25" s="21">
        <v>19.659675847734299</v>
      </c>
      <c r="N25" s="21">
        <v>29.214281067558201</v>
      </c>
      <c r="O25" s="21">
        <v>31.303777565861999</v>
      </c>
      <c r="P25" s="21">
        <v>21.762747070862599</v>
      </c>
      <c r="Q25" s="21">
        <v>37.252084714605203</v>
      </c>
      <c r="R25" s="21">
        <v>11.372121884933</v>
      </c>
      <c r="S25" s="21">
        <v>57.432152517311998</v>
      </c>
      <c r="T25" s="22">
        <v>12.96</v>
      </c>
      <c r="U25" s="19">
        <v>129191.30002258399</v>
      </c>
      <c r="V25" s="19">
        <v>128459.321658025</v>
      </c>
      <c r="W25" s="19">
        <v>124277.071987307</v>
      </c>
      <c r="X25" s="19">
        <v>98807.867898127501</v>
      </c>
      <c r="Y25" s="21">
        <v>3.2556996384052499</v>
      </c>
      <c r="Z25" s="19">
        <v>58687936.321015298</v>
      </c>
      <c r="AA25" s="22">
        <v>9.8062380673832397E-2</v>
      </c>
      <c r="AB25" s="22">
        <v>1.0395425154189299</v>
      </c>
      <c r="AC25" s="20">
        <v>10.6008288629722</v>
      </c>
      <c r="AD25" s="20">
        <v>22.448224529867399</v>
      </c>
      <c r="AE25" s="20">
        <v>1.4404709904338999</v>
      </c>
      <c r="AF25" s="20">
        <v>0.77077231385848599</v>
      </c>
      <c r="AG25" s="20">
        <v>7.0553127269999996</v>
      </c>
      <c r="AH25" s="20">
        <v>9.5649449999999998</v>
      </c>
      <c r="AI25" s="21">
        <f t="shared" si="0"/>
        <v>2.5096322730000002</v>
      </c>
      <c r="AJ25" s="20"/>
      <c r="AK25" s="20"/>
      <c r="AL25" s="20"/>
      <c r="AM25" s="20">
        <v>89.079499999999996</v>
      </c>
      <c r="AN25" s="19">
        <v>4328111.7315598996</v>
      </c>
      <c r="AO25" s="20">
        <v>5999.61</v>
      </c>
      <c r="AP25" s="20">
        <v>53.2</v>
      </c>
      <c r="AQ25" s="20">
        <v>57.8</v>
      </c>
      <c r="AR25" s="22"/>
      <c r="AS25" s="22">
        <v>0.75203702290852803</v>
      </c>
      <c r="AT25" s="22"/>
      <c r="AU25" s="22"/>
    </row>
    <row r="26" spans="1:47" ht="16" customHeight="1" x14ac:dyDescent="0.2">
      <c r="A26" s="18" t="s">
        <v>138</v>
      </c>
      <c r="B26" s="19">
        <v>1329208.4774054601</v>
      </c>
      <c r="C26" s="19">
        <v>742814.86703566101</v>
      </c>
      <c r="D26" s="19">
        <v>269832.08479188499</v>
      </c>
      <c r="E26" s="19">
        <v>310150.23373344803</v>
      </c>
      <c r="F26" s="19">
        <v>174788.62863865501</v>
      </c>
      <c r="G26" s="19">
        <v>168252.548464933</v>
      </c>
      <c r="H26" s="19">
        <v>82829.852745019103</v>
      </c>
      <c r="I26" s="20"/>
      <c r="J26" s="21">
        <v>17.987275338522402</v>
      </c>
      <c r="K26" s="21">
        <v>18.345342875273399</v>
      </c>
      <c r="L26" s="21">
        <v>16.1221891989982</v>
      </c>
      <c r="M26" s="21">
        <v>19.9805539215644</v>
      </c>
      <c r="N26" s="21">
        <v>29.5235014338251</v>
      </c>
      <c r="O26" s="21">
        <v>31.751961122659701</v>
      </c>
      <c r="P26" s="21">
        <v>22.1400687919779</v>
      </c>
      <c r="Q26" s="21">
        <v>37.438511758117897</v>
      </c>
      <c r="R26" s="21">
        <v>11.471877340063999</v>
      </c>
      <c r="S26" s="21">
        <v>57.396524630787702</v>
      </c>
      <c r="T26" s="22">
        <v>13.18</v>
      </c>
      <c r="U26" s="19">
        <v>133474.54230733099</v>
      </c>
      <c r="V26" s="19">
        <v>128320.09858244999</v>
      </c>
      <c r="W26" s="19">
        <v>124077.71271082399</v>
      </c>
      <c r="X26" s="19">
        <v>98771.765677637595</v>
      </c>
      <c r="Y26" s="21">
        <v>3.3060961754944498</v>
      </c>
      <c r="Z26" s="19">
        <v>58679505.622099601</v>
      </c>
      <c r="AA26" s="22">
        <v>0.10041655961137499</v>
      </c>
      <c r="AB26" s="22">
        <v>1.0757334205411</v>
      </c>
      <c r="AC26" s="20">
        <v>10.7127093848298</v>
      </c>
      <c r="AD26" s="20">
        <v>22.652005386099599</v>
      </c>
      <c r="AE26" s="20">
        <v>1.3994051296064001</v>
      </c>
      <c r="AF26" s="20">
        <v>0.83056478405315604</v>
      </c>
      <c r="AG26" s="20">
        <v>6.3822833169999997</v>
      </c>
      <c r="AH26" s="20">
        <v>9.4417469999999994</v>
      </c>
      <c r="AI26" s="21">
        <f t="shared" si="0"/>
        <v>3.0594636829999997</v>
      </c>
      <c r="AJ26" s="20"/>
      <c r="AK26" s="20"/>
      <c r="AL26" s="20"/>
      <c r="AM26" s="20">
        <v>87.685100000000006</v>
      </c>
      <c r="AN26" s="19">
        <v>4344486.7599141896</v>
      </c>
      <c r="AO26" s="20">
        <v>6102.326</v>
      </c>
      <c r="AP26" s="20">
        <v>54.267000000000003</v>
      </c>
      <c r="AQ26" s="20">
        <v>59.033000000000001</v>
      </c>
      <c r="AR26" s="22"/>
      <c r="AS26" s="22">
        <v>0.83217656453450495</v>
      </c>
      <c r="AT26" s="22"/>
      <c r="AU26" s="22"/>
    </row>
    <row r="27" spans="1:47" ht="16" customHeight="1" x14ac:dyDescent="0.2">
      <c r="A27" s="18" t="s">
        <v>139</v>
      </c>
      <c r="B27" s="19">
        <v>1343254.04177142</v>
      </c>
      <c r="C27" s="19">
        <v>752897.61069994001</v>
      </c>
      <c r="D27" s="19">
        <v>271091.48911822599</v>
      </c>
      <c r="E27" s="19">
        <v>315169.52343558299</v>
      </c>
      <c r="F27" s="19">
        <v>178094.650164605</v>
      </c>
      <c r="G27" s="19">
        <v>173930.297957495</v>
      </c>
      <c r="H27" s="19">
        <v>85137.961748850896</v>
      </c>
      <c r="I27" s="20"/>
      <c r="J27" s="21">
        <v>18.3619758336825</v>
      </c>
      <c r="K27" s="21">
        <v>18.7481417760551</v>
      </c>
      <c r="L27" s="21">
        <v>16.520099707429701</v>
      </c>
      <c r="M27" s="21">
        <v>20.384863492718399</v>
      </c>
      <c r="N27" s="21">
        <v>29.822971072829699</v>
      </c>
      <c r="O27" s="21">
        <v>32.592470019603297</v>
      </c>
      <c r="P27" s="21">
        <v>22.553007830461802</v>
      </c>
      <c r="Q27" s="21">
        <v>37.199935460499802</v>
      </c>
      <c r="R27" s="21">
        <v>11.571632795195001</v>
      </c>
      <c r="S27" s="21">
        <v>55.757641867209301</v>
      </c>
      <c r="T27" s="22">
        <v>13.34</v>
      </c>
      <c r="U27" s="19">
        <v>137667.34896806799</v>
      </c>
      <c r="V27" s="19">
        <v>128636.683992019</v>
      </c>
      <c r="W27" s="19">
        <v>124033.20108417601</v>
      </c>
      <c r="X27" s="19">
        <v>98985.890041715596</v>
      </c>
      <c r="Y27" s="21">
        <v>3.5786703800047399</v>
      </c>
      <c r="Z27" s="19">
        <v>58749529.246637903</v>
      </c>
      <c r="AA27" s="22">
        <v>0.102487946945999</v>
      </c>
      <c r="AB27" s="22">
        <v>1.1099233734573899</v>
      </c>
      <c r="AC27" s="20">
        <v>10.8297942005045</v>
      </c>
      <c r="AD27" s="20">
        <v>22.8640817891879</v>
      </c>
      <c r="AE27" s="20">
        <v>1.3933990996157299</v>
      </c>
      <c r="AF27" s="20">
        <v>0.85026783436782605</v>
      </c>
      <c r="AG27" s="20">
        <v>6.5988649290000003</v>
      </c>
      <c r="AH27" s="20">
        <v>9.2873793333333303</v>
      </c>
      <c r="AI27" s="21">
        <f t="shared" si="0"/>
        <v>2.68851440433333</v>
      </c>
      <c r="AJ27" s="20"/>
      <c r="AK27" s="20"/>
      <c r="AL27" s="20"/>
      <c r="AM27" s="20">
        <v>89.138900000000007</v>
      </c>
      <c r="AN27" s="19">
        <v>4399300.08462907</v>
      </c>
      <c r="AO27" s="20">
        <v>6184.53</v>
      </c>
      <c r="AP27" s="20">
        <v>55.267000000000003</v>
      </c>
      <c r="AQ27" s="20">
        <v>59.667000000000002</v>
      </c>
      <c r="AR27" s="22"/>
      <c r="AS27" s="22">
        <v>0.76070505777994801</v>
      </c>
      <c r="AT27" s="22"/>
      <c r="AU27" s="22"/>
    </row>
    <row r="28" spans="1:47" ht="16" customHeight="1" x14ac:dyDescent="0.2">
      <c r="A28" s="18" t="s">
        <v>140</v>
      </c>
      <c r="B28" s="19">
        <v>1365185.74847991</v>
      </c>
      <c r="C28" s="19">
        <v>762723.84210218501</v>
      </c>
      <c r="D28" s="19">
        <v>272665.66785667499</v>
      </c>
      <c r="E28" s="19">
        <v>315186.754438376</v>
      </c>
      <c r="F28" s="19">
        <v>185145.541790038</v>
      </c>
      <c r="G28" s="19">
        <v>181016.458350828</v>
      </c>
      <c r="H28" s="19">
        <v>89253.706045328901</v>
      </c>
      <c r="I28" s="20"/>
      <c r="J28" s="21">
        <v>18.7413048798036</v>
      </c>
      <c r="K28" s="21">
        <v>19.207002612965098</v>
      </c>
      <c r="L28" s="21">
        <v>16.843215162399201</v>
      </c>
      <c r="M28" s="21">
        <v>20.899029461651999</v>
      </c>
      <c r="N28" s="21">
        <v>30.532751262742501</v>
      </c>
      <c r="O28" s="21">
        <v>33.428698138925299</v>
      </c>
      <c r="P28" s="21">
        <v>23.1584204149827</v>
      </c>
      <c r="Q28" s="21">
        <v>40.377650194214802</v>
      </c>
      <c r="R28" s="21">
        <v>12.868453711897899</v>
      </c>
      <c r="S28" s="21">
        <v>58.358477557847102</v>
      </c>
      <c r="T28" s="22">
        <v>13.67</v>
      </c>
      <c r="U28" s="19">
        <v>141958.41793863199</v>
      </c>
      <c r="V28" s="19">
        <v>128756.745734966</v>
      </c>
      <c r="W28" s="19">
        <v>124126.464983567</v>
      </c>
      <c r="X28" s="19">
        <v>98963.820221240501</v>
      </c>
      <c r="Y28" s="21">
        <v>3.5961461475030898</v>
      </c>
      <c r="Z28" s="19">
        <v>58822383.980070099</v>
      </c>
      <c r="AA28" s="22">
        <v>0.103984690798815</v>
      </c>
      <c r="AB28" s="22">
        <v>1.1436595568674699</v>
      </c>
      <c r="AC28" s="20">
        <v>10.9983455072264</v>
      </c>
      <c r="AD28" s="20">
        <v>23.208609650068901</v>
      </c>
      <c r="AE28" s="20">
        <v>1.3657423666400199</v>
      </c>
      <c r="AF28" s="20">
        <v>0.86941401495392101</v>
      </c>
      <c r="AG28" s="20">
        <v>7.0007737399999996</v>
      </c>
      <c r="AH28" s="20">
        <v>9.4307716666666703</v>
      </c>
      <c r="AI28" s="21">
        <f t="shared" si="0"/>
        <v>2.4299979266666707</v>
      </c>
      <c r="AJ28" s="20"/>
      <c r="AK28" s="20"/>
      <c r="AL28" s="20"/>
      <c r="AM28" s="20">
        <v>99.410300000000007</v>
      </c>
      <c r="AN28" s="19">
        <v>4431958.7514925804</v>
      </c>
      <c r="AO28" s="20">
        <v>6323.6490000000003</v>
      </c>
      <c r="AP28" s="20">
        <v>55.9</v>
      </c>
      <c r="AQ28" s="20">
        <v>59.933</v>
      </c>
      <c r="AR28" s="22"/>
      <c r="AS28" s="22">
        <v>0.68626965840657606</v>
      </c>
      <c r="AT28" s="22"/>
      <c r="AU28" s="22"/>
    </row>
    <row r="29" spans="1:47" ht="16" customHeight="1" x14ac:dyDescent="0.2">
      <c r="A29" s="18" t="s">
        <v>141</v>
      </c>
      <c r="B29" s="19">
        <v>1382742.31128632</v>
      </c>
      <c r="C29" s="19">
        <v>768148.29845837597</v>
      </c>
      <c r="D29" s="19">
        <v>275259.06776425103</v>
      </c>
      <c r="E29" s="19">
        <v>316160.07695852499</v>
      </c>
      <c r="F29" s="19">
        <v>189434.60047103601</v>
      </c>
      <c r="G29" s="19">
        <v>184484.544824871</v>
      </c>
      <c r="H29" s="19">
        <v>94764.917058622596</v>
      </c>
      <c r="I29" s="20"/>
      <c r="J29" s="21">
        <v>19.518343929420201</v>
      </c>
      <c r="K29" s="21">
        <v>19.856945820218598</v>
      </c>
      <c r="L29" s="21">
        <v>17.438362889007099</v>
      </c>
      <c r="M29" s="21">
        <v>21.7914602204416</v>
      </c>
      <c r="N29" s="21">
        <v>32.003417144523297</v>
      </c>
      <c r="O29" s="21">
        <v>35.309600879389798</v>
      </c>
      <c r="P29" s="21">
        <v>23.8493841491903</v>
      </c>
      <c r="Q29" s="21">
        <v>42.018058608269399</v>
      </c>
      <c r="R29" s="21">
        <v>12.918331439463399</v>
      </c>
      <c r="S29" s="21">
        <v>64.094567232025398</v>
      </c>
      <c r="T29" s="22">
        <v>14.42</v>
      </c>
      <c r="U29" s="19">
        <v>148905.82131925601</v>
      </c>
      <c r="V29" s="19">
        <v>129116.256183427</v>
      </c>
      <c r="W29" s="19">
        <v>124426.02235151699</v>
      </c>
      <c r="X29" s="19">
        <v>99414.482538618395</v>
      </c>
      <c r="Y29" s="21">
        <v>3.6325664719144699</v>
      </c>
      <c r="Z29" s="19">
        <v>58881479.540609904</v>
      </c>
      <c r="AA29" s="22">
        <v>0.107688771872999</v>
      </c>
      <c r="AB29" s="22">
        <v>1.1967417948842001</v>
      </c>
      <c r="AC29" s="20">
        <v>11.1129672487635</v>
      </c>
      <c r="AD29" s="20">
        <v>23.483484485688901</v>
      </c>
      <c r="AE29" s="20">
        <v>1.3498492308032899</v>
      </c>
      <c r="AF29" s="20">
        <v>0.90358724134815205</v>
      </c>
      <c r="AG29" s="20">
        <v>8.5678147039999999</v>
      </c>
      <c r="AH29" s="20">
        <v>10.1040356666667</v>
      </c>
      <c r="AI29" s="21">
        <f t="shared" si="0"/>
        <v>1.5362209626667003</v>
      </c>
      <c r="AJ29" s="20"/>
      <c r="AK29" s="20"/>
      <c r="AL29" s="20"/>
      <c r="AM29" s="20">
        <v>101.5722</v>
      </c>
      <c r="AN29" s="19">
        <v>4460255.2927963501</v>
      </c>
      <c r="AO29" s="20">
        <v>6370.0249999999996</v>
      </c>
      <c r="AP29" s="20">
        <v>56.4</v>
      </c>
      <c r="AQ29" s="20">
        <v>60.866999999999997</v>
      </c>
      <c r="AR29" s="22"/>
      <c r="AS29" s="22">
        <v>0.65895258585612004</v>
      </c>
      <c r="AT29" s="22"/>
      <c r="AU29" s="22"/>
    </row>
    <row r="30" spans="1:47" ht="16" customHeight="1" x14ac:dyDescent="0.2">
      <c r="A30" s="18" t="s">
        <v>142</v>
      </c>
      <c r="B30" s="19">
        <v>1394382.3929204899</v>
      </c>
      <c r="C30" s="19">
        <v>774102.79429885803</v>
      </c>
      <c r="D30" s="19">
        <v>278341.74999314803</v>
      </c>
      <c r="E30" s="19">
        <v>315377.27355373901</v>
      </c>
      <c r="F30" s="19">
        <v>192500.222519128</v>
      </c>
      <c r="G30" s="19">
        <v>187049.65800999</v>
      </c>
      <c r="H30" s="19">
        <v>96647.689000668295</v>
      </c>
      <c r="I30" s="20"/>
      <c r="J30" s="21">
        <v>20.062706757693501</v>
      </c>
      <c r="K30" s="21">
        <v>20.383567017198999</v>
      </c>
      <c r="L30" s="21">
        <v>18.01576637658</v>
      </c>
      <c r="M30" s="21">
        <v>22.4747752221787</v>
      </c>
      <c r="N30" s="21">
        <v>33.134521607681897</v>
      </c>
      <c r="O30" s="21">
        <v>36.731790491342302</v>
      </c>
      <c r="P30" s="21">
        <v>24.239970755958499</v>
      </c>
      <c r="Q30" s="21">
        <v>43.077116307345499</v>
      </c>
      <c r="R30" s="21">
        <v>13.1178423497254</v>
      </c>
      <c r="S30" s="21">
        <v>66.659775036965897</v>
      </c>
      <c r="T30" s="22">
        <v>14.97</v>
      </c>
      <c r="U30" s="19">
        <v>155646.68629213999</v>
      </c>
      <c r="V30" s="19">
        <v>129395.348952164</v>
      </c>
      <c r="W30" s="19">
        <v>124721.138841437</v>
      </c>
      <c r="X30" s="19">
        <v>99858.100952368506</v>
      </c>
      <c r="Y30" s="21">
        <v>3.6123478537503999</v>
      </c>
      <c r="Z30" s="19">
        <v>58843396.462622799</v>
      </c>
      <c r="AA30" s="22">
        <v>0.111624104752315</v>
      </c>
      <c r="AB30" s="22">
        <v>1.24795754543277</v>
      </c>
      <c r="AC30" s="20">
        <v>11.180000486471</v>
      </c>
      <c r="AD30" s="20">
        <v>23.6964974278158</v>
      </c>
      <c r="AE30" s="20">
        <v>1.3500407925451201</v>
      </c>
      <c r="AF30" s="20">
        <v>0.90768811836253105</v>
      </c>
      <c r="AG30" s="20">
        <v>9.3484899610000003</v>
      </c>
      <c r="AH30" s="20">
        <v>10.325613333333299</v>
      </c>
      <c r="AI30" s="21">
        <f t="shared" si="0"/>
        <v>0.97712337233329905</v>
      </c>
      <c r="AJ30" s="20"/>
      <c r="AK30" s="20"/>
      <c r="AL30" s="20"/>
      <c r="AM30" s="20">
        <v>104.30289999999999</v>
      </c>
      <c r="AN30" s="19">
        <v>4498349.0139679704</v>
      </c>
      <c r="AO30" s="20">
        <v>6404.8950000000004</v>
      </c>
      <c r="AP30" s="20">
        <v>57.3</v>
      </c>
      <c r="AQ30" s="20">
        <v>61.6</v>
      </c>
      <c r="AR30" s="22"/>
      <c r="AS30" s="22">
        <v>0.79686030069987002</v>
      </c>
      <c r="AT30" s="22"/>
      <c r="AU30" s="22"/>
    </row>
    <row r="31" spans="1:47" ht="16" customHeight="1" x14ac:dyDescent="0.2">
      <c r="A31" s="18" t="s">
        <v>143</v>
      </c>
      <c r="B31" s="19">
        <v>1416778.3780478199</v>
      </c>
      <c r="C31" s="19">
        <v>782771.96159398498</v>
      </c>
      <c r="D31" s="19">
        <v>280266.759820337</v>
      </c>
      <c r="E31" s="19">
        <v>322987.696260228</v>
      </c>
      <c r="F31" s="19">
        <v>198164.957658067</v>
      </c>
      <c r="G31" s="19">
        <v>191067.719901695</v>
      </c>
      <c r="H31" s="19">
        <v>101779.900979025</v>
      </c>
      <c r="I31" s="20"/>
      <c r="J31" s="21">
        <v>20.578502362686699</v>
      </c>
      <c r="K31" s="21">
        <v>20.932204126066001</v>
      </c>
      <c r="L31" s="21">
        <v>18.5225909064375</v>
      </c>
      <c r="M31" s="21">
        <v>23.133938403804098</v>
      </c>
      <c r="N31" s="21">
        <v>34.021470337643599</v>
      </c>
      <c r="O31" s="21">
        <v>37.871177307131298</v>
      </c>
      <c r="P31" s="21">
        <v>24.893437333854301</v>
      </c>
      <c r="Q31" s="21">
        <v>43.934246147185902</v>
      </c>
      <c r="R31" s="21">
        <v>13.526839715762399</v>
      </c>
      <c r="S31" s="21">
        <v>66.873542354457697</v>
      </c>
      <c r="T31" s="22">
        <v>15.33</v>
      </c>
      <c r="U31" s="19">
        <v>161268.900789017</v>
      </c>
      <c r="V31" s="19">
        <v>129546.042619887</v>
      </c>
      <c r="W31" s="19">
        <v>124683.04709193901</v>
      </c>
      <c r="X31" s="19">
        <v>100117.128934026</v>
      </c>
      <c r="Y31" s="21">
        <v>3.7538742439375898</v>
      </c>
      <c r="Z31" s="19">
        <v>58582994.109518103</v>
      </c>
      <c r="AA31" s="22">
        <v>0.11382789523597101</v>
      </c>
      <c r="AB31" s="22">
        <v>1.29343085969098</v>
      </c>
      <c r="AC31" s="20">
        <v>11.3630394114696</v>
      </c>
      <c r="AD31" s="20">
        <v>24.184123730501401</v>
      </c>
      <c r="AE31" s="20">
        <v>1.3936841271585301</v>
      </c>
      <c r="AF31" s="20">
        <v>0.89790787465206101</v>
      </c>
      <c r="AG31" s="20">
        <v>9.2056778930000007</v>
      </c>
      <c r="AH31" s="20">
        <v>10.435460000000001</v>
      </c>
      <c r="AI31" s="21">
        <f t="shared" si="0"/>
        <v>1.2297821070000001</v>
      </c>
      <c r="AJ31" s="20"/>
      <c r="AK31" s="20"/>
      <c r="AL31" s="20"/>
      <c r="AM31" s="20">
        <v>102.6298</v>
      </c>
      <c r="AN31" s="19">
        <v>4562760.3308813497</v>
      </c>
      <c r="AO31" s="20">
        <v>6451.1769999999997</v>
      </c>
      <c r="AP31" s="20">
        <v>58.133000000000003</v>
      </c>
      <c r="AQ31" s="20">
        <v>62.133000000000003</v>
      </c>
      <c r="AR31" s="22"/>
      <c r="AS31" s="22">
        <v>0.62721471150716102</v>
      </c>
      <c r="AT31" s="22"/>
      <c r="AU31" s="22"/>
    </row>
    <row r="32" spans="1:47" ht="16" customHeight="1" x14ac:dyDescent="0.2">
      <c r="A32" s="18" t="s">
        <v>144</v>
      </c>
      <c r="B32" s="19">
        <v>1422618.8426901</v>
      </c>
      <c r="C32" s="19">
        <v>784563.80207947094</v>
      </c>
      <c r="D32" s="19">
        <v>281153.06146646099</v>
      </c>
      <c r="E32" s="19">
        <v>326856.620796262</v>
      </c>
      <c r="F32" s="19">
        <v>198221.606128613</v>
      </c>
      <c r="G32" s="19">
        <v>186745.45604029601</v>
      </c>
      <c r="H32" s="19">
        <v>104925.54016953299</v>
      </c>
      <c r="I32" s="20"/>
      <c r="J32" s="21">
        <v>21.065957458261501</v>
      </c>
      <c r="K32" s="21">
        <v>21.465063159082401</v>
      </c>
      <c r="L32" s="21">
        <v>18.969043087637701</v>
      </c>
      <c r="M32" s="21">
        <v>23.650907812813301</v>
      </c>
      <c r="N32" s="21">
        <v>34.693704348544799</v>
      </c>
      <c r="O32" s="21">
        <v>38.592793907394999</v>
      </c>
      <c r="P32" s="21">
        <v>25.565171501989699</v>
      </c>
      <c r="Q32" s="21">
        <v>47.9019007610258</v>
      </c>
      <c r="R32" s="21">
        <v>14.4146632664282</v>
      </c>
      <c r="S32" s="21">
        <v>75.459862922462904</v>
      </c>
      <c r="T32" s="22">
        <v>15.72</v>
      </c>
      <c r="U32" s="19">
        <v>165860.93545473399</v>
      </c>
      <c r="V32" s="19">
        <v>129728.25868441501</v>
      </c>
      <c r="W32" s="19">
        <v>124801.062069484</v>
      </c>
      <c r="X32" s="19">
        <v>100357.302632494</v>
      </c>
      <c r="Y32" s="21">
        <v>3.7980904583920898</v>
      </c>
      <c r="Z32" s="19">
        <v>58366350.6435645</v>
      </c>
      <c r="AA32" s="22">
        <v>0.11658845677954</v>
      </c>
      <c r="AB32" s="22">
        <v>1.32900259584641</v>
      </c>
      <c r="AC32" s="20">
        <v>11.3990924363932</v>
      </c>
      <c r="AD32" s="20">
        <v>24.373955661162402</v>
      </c>
      <c r="AE32" s="20">
        <v>1.3808132257028201</v>
      </c>
      <c r="AF32" s="20">
        <v>0.89317613433369103</v>
      </c>
      <c r="AG32" s="20">
        <v>10.214431834000001</v>
      </c>
      <c r="AH32" s="20">
        <v>10.310930000000001</v>
      </c>
      <c r="AI32" s="21">
        <f t="shared" si="0"/>
        <v>9.6498165999999941E-2</v>
      </c>
      <c r="AJ32" s="20"/>
      <c r="AK32" s="20"/>
      <c r="AL32" s="20"/>
      <c r="AM32" s="20">
        <v>101.7825</v>
      </c>
      <c r="AN32" s="19">
        <v>4583727.6222020397</v>
      </c>
      <c r="AO32" s="20">
        <v>6527.7030000000004</v>
      </c>
      <c r="AP32" s="20">
        <v>59.2</v>
      </c>
      <c r="AQ32" s="20">
        <v>63.466999999999999</v>
      </c>
      <c r="AR32" s="22"/>
      <c r="AS32" s="22">
        <v>0.60814359029134102</v>
      </c>
      <c r="AT32" s="22"/>
      <c r="AU32" s="22"/>
    </row>
    <row r="33" spans="1:47" ht="16" customHeight="1" x14ac:dyDescent="0.2">
      <c r="A33" s="18" t="s">
        <v>145</v>
      </c>
      <c r="B33" s="19">
        <v>1424535.641209</v>
      </c>
      <c r="C33" s="19">
        <v>794776.65172191104</v>
      </c>
      <c r="D33" s="19">
        <v>282439.537568642</v>
      </c>
      <c r="E33" s="19">
        <v>322289.31928337098</v>
      </c>
      <c r="F33" s="19">
        <v>202883.345630194</v>
      </c>
      <c r="G33" s="19">
        <v>188690.39104454601</v>
      </c>
      <c r="H33" s="19">
        <v>106879.27612018499</v>
      </c>
      <c r="I33" s="20"/>
      <c r="J33" s="21">
        <v>21.7165691935929</v>
      </c>
      <c r="K33" s="21">
        <v>22.052828827368302</v>
      </c>
      <c r="L33" s="21">
        <v>19.657732170302001</v>
      </c>
      <c r="M33" s="21">
        <v>24.2652179144123</v>
      </c>
      <c r="N33" s="21">
        <v>35.303361721267599</v>
      </c>
      <c r="O33" s="21">
        <v>39.3605444846824</v>
      </c>
      <c r="P33" s="21">
        <v>26.218296549591301</v>
      </c>
      <c r="Q33" s="21">
        <v>48.493487459645301</v>
      </c>
      <c r="R33" s="21">
        <v>14.4146632664282</v>
      </c>
      <c r="S33" s="21">
        <v>77.811303410738503</v>
      </c>
      <c r="T33" s="22">
        <v>16.38</v>
      </c>
      <c r="U33" s="19">
        <v>172778.37296746901</v>
      </c>
      <c r="V33" s="19">
        <v>129956.120222197</v>
      </c>
      <c r="W33" s="19">
        <v>124817.28700859001</v>
      </c>
      <c r="X33" s="19">
        <v>100309.352210753</v>
      </c>
      <c r="Y33" s="21">
        <v>3.9542833418081398</v>
      </c>
      <c r="Z33" s="19">
        <v>58109132.940847203</v>
      </c>
      <c r="AA33" s="22">
        <v>0.12128750448169399</v>
      </c>
      <c r="AB33" s="22">
        <v>1.38425034791517</v>
      </c>
      <c r="AC33" s="20">
        <v>11.4129675091477</v>
      </c>
      <c r="AD33" s="20">
        <v>24.514832163459001</v>
      </c>
      <c r="AE33" s="20">
        <v>1.3815590540635501</v>
      </c>
      <c r="AF33" s="20">
        <v>0.88636766530756905</v>
      </c>
      <c r="AG33" s="20">
        <v>9.3718135950000008</v>
      </c>
      <c r="AH33" s="20">
        <v>10.2230566666667</v>
      </c>
      <c r="AI33" s="21">
        <f t="shared" si="0"/>
        <v>0.85124307166669944</v>
      </c>
      <c r="AJ33" s="20"/>
      <c r="AK33" s="20"/>
      <c r="AL33" s="20"/>
      <c r="AM33" s="20">
        <v>98.9833</v>
      </c>
      <c r="AN33" s="19">
        <v>4617510.5375385098</v>
      </c>
      <c r="AO33" s="20">
        <v>6654.4660000000003</v>
      </c>
      <c r="AP33" s="20">
        <v>60.232999999999997</v>
      </c>
      <c r="AQ33" s="20">
        <v>65.033000000000001</v>
      </c>
      <c r="AR33" s="22"/>
      <c r="AS33" s="22">
        <v>0.73647903442382801</v>
      </c>
      <c r="AT33" s="22"/>
      <c r="AU33" s="22"/>
    </row>
    <row r="34" spans="1:47" ht="16" customHeight="1" x14ac:dyDescent="0.2">
      <c r="A34" s="18" t="s">
        <v>146</v>
      </c>
      <c r="B34" s="19">
        <v>1425655.09684075</v>
      </c>
      <c r="C34" s="19">
        <v>801115.96825222101</v>
      </c>
      <c r="D34" s="19">
        <v>286125.33927966701</v>
      </c>
      <c r="E34" s="19">
        <v>323990.54174530599</v>
      </c>
      <c r="F34" s="19">
        <v>204508.51578525701</v>
      </c>
      <c r="G34" s="19">
        <v>191285.33549152801</v>
      </c>
      <c r="H34" s="19">
        <v>108467.747836903</v>
      </c>
      <c r="I34" s="20"/>
      <c r="J34" s="21">
        <v>22.186674496856401</v>
      </c>
      <c r="K34" s="21">
        <v>22.594266278583</v>
      </c>
      <c r="L34" s="21">
        <v>20.141673470480999</v>
      </c>
      <c r="M34" s="21">
        <v>24.826516697727801</v>
      </c>
      <c r="N34" s="21">
        <v>35.801723219507998</v>
      </c>
      <c r="O34" s="21">
        <v>39.651152051520199</v>
      </c>
      <c r="P34" s="21">
        <v>26.7495921262663</v>
      </c>
      <c r="Q34" s="21">
        <v>45.779481983694502</v>
      </c>
      <c r="R34" s="21">
        <v>14.245078992705601</v>
      </c>
      <c r="S34" s="21">
        <v>68.583680890257696</v>
      </c>
      <c r="T34" s="22">
        <v>16.97</v>
      </c>
      <c r="U34" s="19">
        <v>177032.470139857</v>
      </c>
      <c r="V34" s="19">
        <v>129818.069809033</v>
      </c>
      <c r="W34" s="19">
        <v>124479.949558612</v>
      </c>
      <c r="X34" s="19">
        <v>100470.314601633</v>
      </c>
      <c r="Y34" s="21">
        <v>4.1120009396791204</v>
      </c>
      <c r="Z34" s="19">
        <v>57705405.9922342</v>
      </c>
      <c r="AA34" s="22">
        <v>0.124176226446468</v>
      </c>
      <c r="AB34" s="22">
        <v>1.42217658962419</v>
      </c>
      <c r="AC34" s="20">
        <v>11.4528894162949</v>
      </c>
      <c r="AD34" s="20">
        <v>24.7057458885673</v>
      </c>
      <c r="AE34" s="20">
        <v>1.3758085501741699</v>
      </c>
      <c r="AF34" s="20">
        <v>0.87473757872638203</v>
      </c>
      <c r="AG34" s="20">
        <v>8.9984842230000002</v>
      </c>
      <c r="AH34" s="20">
        <v>10.084906666666701</v>
      </c>
      <c r="AI34" s="21">
        <f t="shared" si="0"/>
        <v>1.0864224436667005</v>
      </c>
      <c r="AJ34" s="20"/>
      <c r="AK34" s="20"/>
      <c r="AL34" s="20"/>
      <c r="AM34" s="20">
        <v>98.046700000000001</v>
      </c>
      <c r="AN34" s="19">
        <v>4665930.28354517</v>
      </c>
      <c r="AO34" s="20">
        <v>6774.4570000000003</v>
      </c>
      <c r="AP34" s="20">
        <v>61.067</v>
      </c>
      <c r="AQ34" s="20">
        <v>65.132999999999996</v>
      </c>
      <c r="AR34" s="22"/>
      <c r="AS34" s="22">
        <v>0.711740226745605</v>
      </c>
      <c r="AT34" s="22"/>
      <c r="AU34" s="22"/>
    </row>
    <row r="35" spans="1:47" ht="16" customHeight="1" x14ac:dyDescent="0.2">
      <c r="A35" s="18" t="s">
        <v>147</v>
      </c>
      <c r="B35" s="19">
        <v>1442707.8456790601</v>
      </c>
      <c r="C35" s="19">
        <v>809141.95589034795</v>
      </c>
      <c r="D35" s="19">
        <v>290694.98958822398</v>
      </c>
      <c r="E35" s="19">
        <v>327993.76205487899</v>
      </c>
      <c r="F35" s="19">
        <v>210917.08884652</v>
      </c>
      <c r="G35" s="19">
        <v>191898.79833300799</v>
      </c>
      <c r="H35" s="19">
        <v>114044.626380471</v>
      </c>
      <c r="I35" s="20"/>
      <c r="J35" s="21">
        <v>22.683365460927</v>
      </c>
      <c r="K35" s="21">
        <v>23.032624162333601</v>
      </c>
      <c r="L35" s="21">
        <v>20.608213067615601</v>
      </c>
      <c r="M35" s="21">
        <v>25.481634170366199</v>
      </c>
      <c r="N35" s="21">
        <v>36.495966943963602</v>
      </c>
      <c r="O35" s="21">
        <v>40.377432897484503</v>
      </c>
      <c r="P35" s="21">
        <v>27.194547475344699</v>
      </c>
      <c r="Q35" s="21">
        <v>44.261545294811498</v>
      </c>
      <c r="R35" s="21">
        <v>14.015641445904301</v>
      </c>
      <c r="S35" s="21">
        <v>64.593357639230703</v>
      </c>
      <c r="T35" s="22">
        <v>17.420000000000002</v>
      </c>
      <c r="U35" s="19">
        <v>182178.16749317199</v>
      </c>
      <c r="V35" s="19">
        <v>129930.215798871</v>
      </c>
      <c r="W35" s="19">
        <v>124566.271863638</v>
      </c>
      <c r="X35" s="19">
        <v>100584.697868622</v>
      </c>
      <c r="Y35" s="21">
        <v>4.1283268116295302</v>
      </c>
      <c r="Z35" s="19">
        <v>57533184.871701397</v>
      </c>
      <c r="AA35" s="22">
        <v>0.12627516238911399</v>
      </c>
      <c r="AB35" s="22">
        <v>1.4624999589985399</v>
      </c>
      <c r="AC35" s="20">
        <v>11.5818497583228</v>
      </c>
      <c r="AD35" s="20">
        <v>25.076099105173601</v>
      </c>
      <c r="AE35" s="20">
        <v>1.36533799801363</v>
      </c>
      <c r="AF35" s="20">
        <v>0.85200647524921203</v>
      </c>
      <c r="AG35" s="20">
        <v>9.1298613100000008</v>
      </c>
      <c r="AH35" s="20">
        <v>9.9809533333333302</v>
      </c>
      <c r="AI35" s="21">
        <f t="shared" si="0"/>
        <v>0.85109202333332945</v>
      </c>
      <c r="AJ35" s="20"/>
      <c r="AK35" s="20"/>
      <c r="AL35" s="20"/>
      <c r="AM35" s="20">
        <v>93.994399999999999</v>
      </c>
      <c r="AN35" s="19">
        <v>4702277.2653665096</v>
      </c>
      <c r="AO35" s="20">
        <v>6774.5919999999996</v>
      </c>
      <c r="AP35" s="20">
        <v>61.966999999999999</v>
      </c>
      <c r="AQ35" s="20">
        <v>65.867000000000004</v>
      </c>
      <c r="AR35" s="22"/>
      <c r="AS35" s="22">
        <v>0.682641245524089</v>
      </c>
      <c r="AT35" s="22"/>
      <c r="AU35" s="22"/>
    </row>
    <row r="36" spans="1:47" ht="16" customHeight="1" x14ac:dyDescent="0.2">
      <c r="A36" s="18" t="s">
        <v>148</v>
      </c>
      <c r="B36" s="19">
        <v>1451984.89275508</v>
      </c>
      <c r="C36" s="19">
        <v>811620.11152224697</v>
      </c>
      <c r="D36" s="19">
        <v>292369.126213143</v>
      </c>
      <c r="E36" s="19">
        <v>329031.20161196199</v>
      </c>
      <c r="F36" s="19">
        <v>210005.074402094</v>
      </c>
      <c r="G36" s="19">
        <v>187935.65753400201</v>
      </c>
      <c r="H36" s="19">
        <v>117206.878180762</v>
      </c>
      <c r="I36" s="20"/>
      <c r="J36" s="21">
        <v>23.221336423135199</v>
      </c>
      <c r="K36" s="21">
        <v>23.424305960677401</v>
      </c>
      <c r="L36" s="21">
        <v>21.178088876756998</v>
      </c>
      <c r="M36" s="21">
        <v>26.0825337773447</v>
      </c>
      <c r="N36" s="21">
        <v>37.020352579517102</v>
      </c>
      <c r="O36" s="21">
        <v>40.515932987869903</v>
      </c>
      <c r="P36" s="21">
        <v>27.677350049250901</v>
      </c>
      <c r="Q36" s="21">
        <v>44.059583984384702</v>
      </c>
      <c r="R36" s="21">
        <v>13.965763718338801</v>
      </c>
      <c r="S36" s="21">
        <v>64.201450890771298</v>
      </c>
      <c r="T36" s="22">
        <v>17.91</v>
      </c>
      <c r="U36" s="19">
        <v>188260.644437507</v>
      </c>
      <c r="V36" s="19">
        <v>130126.68677833299</v>
      </c>
      <c r="W36" s="19">
        <v>124748.633984513</v>
      </c>
      <c r="X36" s="19">
        <v>100627.536639118</v>
      </c>
      <c r="Y36" s="21">
        <v>4.1329360848030197</v>
      </c>
      <c r="Z36" s="19">
        <v>57459196.131274201</v>
      </c>
      <c r="AA36" s="22">
        <v>0.12965744022328701</v>
      </c>
      <c r="AB36" s="22">
        <v>1.5091198871234</v>
      </c>
      <c r="AC36" s="20">
        <v>11.639284907403001</v>
      </c>
      <c r="AD36" s="20">
        <v>25.2698434805422</v>
      </c>
      <c r="AE36" s="20">
        <v>1.3789223240547299</v>
      </c>
      <c r="AF36" s="20">
        <v>0.80814611281719695</v>
      </c>
      <c r="AG36" s="20">
        <v>8.0570853000000007</v>
      </c>
      <c r="AH36" s="20">
        <v>9.7167873333333308</v>
      </c>
      <c r="AI36" s="21">
        <f t="shared" si="0"/>
        <v>1.6597020333333301</v>
      </c>
      <c r="AJ36" s="20"/>
      <c r="AK36" s="20"/>
      <c r="AL36" s="20"/>
      <c r="AM36" s="20">
        <v>89.405299999999997</v>
      </c>
      <c r="AN36" s="19">
        <v>4723441.5847809697</v>
      </c>
      <c r="AO36" s="20">
        <v>6796.26</v>
      </c>
      <c r="AP36" s="20">
        <v>63.033000000000001</v>
      </c>
      <c r="AQ36" s="20">
        <v>67.466999999999999</v>
      </c>
      <c r="AR36" s="22"/>
      <c r="AS36" s="22">
        <v>0.825036265055338</v>
      </c>
      <c r="AT36" s="22"/>
      <c r="AU36" s="22"/>
    </row>
    <row r="37" spans="1:47" ht="16" customHeight="1" x14ac:dyDescent="0.2">
      <c r="A37" s="18" t="s">
        <v>149</v>
      </c>
      <c r="B37" s="19">
        <v>1468551.99945973</v>
      </c>
      <c r="C37" s="19">
        <v>820519.92292883201</v>
      </c>
      <c r="D37" s="19">
        <v>294831.66860858002</v>
      </c>
      <c r="E37" s="19">
        <v>332575.89587536099</v>
      </c>
      <c r="F37" s="19">
        <v>215385.312955325</v>
      </c>
      <c r="G37" s="19">
        <v>194098.90796933099</v>
      </c>
      <c r="H37" s="19">
        <v>123560.54634771599</v>
      </c>
      <c r="I37" s="20"/>
      <c r="J37" s="21">
        <v>23.7822099874091</v>
      </c>
      <c r="K37" s="21">
        <v>23.9251158302338</v>
      </c>
      <c r="L37" s="21">
        <v>21.6848537607287</v>
      </c>
      <c r="M37" s="21">
        <v>26.532650263552</v>
      </c>
      <c r="N37" s="21">
        <v>37.691852260552203</v>
      </c>
      <c r="O37" s="21">
        <v>40.810376954717803</v>
      </c>
      <c r="P37" s="21">
        <v>28.260886208987198</v>
      </c>
      <c r="Q37" s="21">
        <v>44.0808592846425</v>
      </c>
      <c r="R37" s="21">
        <v>13.859324647714001</v>
      </c>
      <c r="S37" s="21">
        <v>65.020892272560502</v>
      </c>
      <c r="T37" s="22">
        <v>18.48</v>
      </c>
      <c r="U37" s="19">
        <v>193185.250959247</v>
      </c>
      <c r="V37" s="19">
        <v>130394.264229366</v>
      </c>
      <c r="W37" s="19">
        <v>124853.894834965</v>
      </c>
      <c r="X37" s="19">
        <v>100761.016782634</v>
      </c>
      <c r="Y37" s="21">
        <v>4.2489364291789702</v>
      </c>
      <c r="Z37" s="19">
        <v>57414798.569047198</v>
      </c>
      <c r="AA37" s="22">
        <v>0.131548117486012</v>
      </c>
      <c r="AB37" s="22">
        <v>1.5472905447972101</v>
      </c>
      <c r="AC37" s="20">
        <v>11.7621640990928</v>
      </c>
      <c r="AD37" s="20">
        <v>25.5779352372655</v>
      </c>
      <c r="AE37" s="20">
        <v>1.3794331094049599</v>
      </c>
      <c r="AF37" s="20">
        <v>0.80932340563289096</v>
      </c>
      <c r="AG37" s="20">
        <v>7.9093559310000003</v>
      </c>
      <c r="AH37" s="20">
        <v>9.5753149999999998</v>
      </c>
      <c r="AI37" s="21">
        <f t="shared" si="0"/>
        <v>1.6659590689999995</v>
      </c>
      <c r="AJ37" s="20"/>
      <c r="AK37" s="20"/>
      <c r="AL37" s="20"/>
      <c r="AM37" s="20">
        <v>95.916899999999998</v>
      </c>
      <c r="AN37" s="19">
        <v>4816827.8335514199</v>
      </c>
      <c r="AO37" s="20">
        <v>7058.92</v>
      </c>
      <c r="AP37" s="20">
        <v>64.466999999999999</v>
      </c>
      <c r="AQ37" s="20">
        <v>69.5</v>
      </c>
      <c r="AR37" s="22"/>
      <c r="AS37" s="22">
        <v>0.95072349548339896</v>
      </c>
      <c r="AT37" s="22"/>
      <c r="AU37" s="22"/>
    </row>
    <row r="38" spans="1:47" ht="16" customHeight="1" x14ac:dyDescent="0.2">
      <c r="A38" s="18" t="s">
        <v>150</v>
      </c>
      <c r="B38" s="19">
        <v>1475429.8789643301</v>
      </c>
      <c r="C38" s="19">
        <v>826652.57087270205</v>
      </c>
      <c r="D38" s="19">
        <v>298460.95397690602</v>
      </c>
      <c r="E38" s="19">
        <v>333040.48249515903</v>
      </c>
      <c r="F38" s="19">
        <v>219795.68982937801</v>
      </c>
      <c r="G38" s="19">
        <v>199906.59244933599</v>
      </c>
      <c r="H38" s="19">
        <v>126389.509654774</v>
      </c>
      <c r="I38" s="20"/>
      <c r="J38" s="21">
        <v>24.317443853456499</v>
      </c>
      <c r="K38" s="21">
        <v>24.4720556788184</v>
      </c>
      <c r="L38" s="21">
        <v>22.161791708477999</v>
      </c>
      <c r="M38" s="21">
        <v>27.2350169607511</v>
      </c>
      <c r="N38" s="21">
        <v>37.939781699160697</v>
      </c>
      <c r="O38" s="21">
        <v>40.869104386946603</v>
      </c>
      <c r="P38" s="21">
        <v>28.712918345784701</v>
      </c>
      <c r="Q38" s="21">
        <v>44.400460493131497</v>
      </c>
      <c r="R38" s="21">
        <v>13.9458126273126</v>
      </c>
      <c r="S38" s="21">
        <v>65.590938451987498</v>
      </c>
      <c r="T38" s="22">
        <v>19.04</v>
      </c>
      <c r="U38" s="19">
        <v>199157.979539641</v>
      </c>
      <c r="V38" s="19">
        <v>130708.37407470201</v>
      </c>
      <c r="W38" s="19">
        <v>125026.710802659</v>
      </c>
      <c r="X38" s="19">
        <v>101016.319399707</v>
      </c>
      <c r="Y38" s="21">
        <v>4.3468242278003704</v>
      </c>
      <c r="Z38" s="19">
        <v>57444291.239606403</v>
      </c>
      <c r="AA38" s="22">
        <v>0.134983019104533</v>
      </c>
      <c r="AB38" s="22">
        <v>1.5929234502056999</v>
      </c>
      <c r="AC38" s="20">
        <v>11.800917335921399</v>
      </c>
      <c r="AD38" s="20">
        <v>25.684534478981501</v>
      </c>
      <c r="AE38" s="20">
        <v>1.3540326993149301</v>
      </c>
      <c r="AF38" s="20">
        <v>0.78027465667915097</v>
      </c>
      <c r="AG38" s="20">
        <v>9.1721210630000005</v>
      </c>
      <c r="AH38" s="20">
        <v>9.5766613333333304</v>
      </c>
      <c r="AI38" s="21">
        <f t="shared" si="0"/>
        <v>0.40454027033332984</v>
      </c>
      <c r="AJ38" s="20"/>
      <c r="AK38" s="20"/>
      <c r="AL38" s="20"/>
      <c r="AM38" s="20">
        <v>101.62090000000001</v>
      </c>
      <c r="AN38" s="19">
        <v>4855525.6023967499</v>
      </c>
      <c r="AO38" s="20">
        <v>7129.915</v>
      </c>
      <c r="AP38" s="20">
        <v>65.966999999999999</v>
      </c>
      <c r="AQ38" s="20">
        <v>70.599999999999994</v>
      </c>
      <c r="AR38" s="22"/>
      <c r="AS38" s="22">
        <v>0.75013837178548204</v>
      </c>
      <c r="AT38" s="22"/>
      <c r="AU38" s="22"/>
    </row>
    <row r="39" spans="1:47" ht="16" customHeight="1" x14ac:dyDescent="0.2">
      <c r="A39" s="18" t="s">
        <v>151</v>
      </c>
      <c r="B39" s="19">
        <v>1493000.88372728</v>
      </c>
      <c r="C39" s="19">
        <v>835962.18405121402</v>
      </c>
      <c r="D39" s="19">
        <v>301268.687414538</v>
      </c>
      <c r="E39" s="19">
        <v>336030.27891604399</v>
      </c>
      <c r="F39" s="19">
        <v>221986.20060052199</v>
      </c>
      <c r="G39" s="19">
        <v>206639.951611995</v>
      </c>
      <c r="H39" s="19">
        <v>131888.87656742299</v>
      </c>
      <c r="I39" s="20"/>
      <c r="J39" s="21">
        <v>24.809509962257302</v>
      </c>
      <c r="K39" s="21">
        <v>24.965444062624101</v>
      </c>
      <c r="L39" s="21">
        <v>22.664082136840399</v>
      </c>
      <c r="M39" s="21">
        <v>28.0155937875322</v>
      </c>
      <c r="N39" s="21">
        <v>38.642130179940501</v>
      </c>
      <c r="O39" s="21">
        <v>41.350305331271002</v>
      </c>
      <c r="P39" s="21">
        <v>29.148158587365401</v>
      </c>
      <c r="Q39" s="21">
        <v>47.948878135804797</v>
      </c>
      <c r="R39" s="21">
        <v>15.129610613352099</v>
      </c>
      <c r="S39" s="21">
        <v>70.346970179129002</v>
      </c>
      <c r="T39" s="22">
        <v>19.59</v>
      </c>
      <c r="U39" s="19">
        <v>205023.084069037</v>
      </c>
      <c r="V39" s="19">
        <v>131013.44784573</v>
      </c>
      <c r="W39" s="19">
        <v>125241.285386456</v>
      </c>
      <c r="X39" s="19">
        <v>101292.77230731399</v>
      </c>
      <c r="Y39" s="21">
        <v>4.4057786083692596</v>
      </c>
      <c r="Z39" s="19">
        <v>57511275.897476196</v>
      </c>
      <c r="AA39" s="22">
        <v>0.137322814945157</v>
      </c>
      <c r="AB39" s="22">
        <v>1.63702475135415</v>
      </c>
      <c r="AC39" s="20">
        <v>11.9209961724709</v>
      </c>
      <c r="AD39" s="20">
        <v>25.9601419100632</v>
      </c>
      <c r="AE39" s="20">
        <v>1.3962363277807901</v>
      </c>
      <c r="AF39" s="20">
        <v>0.74526755105082698</v>
      </c>
      <c r="AG39" s="20">
        <v>9.1367645609999997</v>
      </c>
      <c r="AH39" s="20">
        <v>9.7711836666666692</v>
      </c>
      <c r="AI39" s="21">
        <f t="shared" si="0"/>
        <v>0.63441910566666948</v>
      </c>
      <c r="AJ39" s="20"/>
      <c r="AK39" s="20"/>
      <c r="AL39" s="20"/>
      <c r="AM39" s="20">
        <v>97.148399999999995</v>
      </c>
      <c r="AN39" s="19">
        <v>4904705.1575367404</v>
      </c>
      <c r="AO39" s="20">
        <v>7225.75</v>
      </c>
      <c r="AP39" s="20">
        <v>67.5</v>
      </c>
      <c r="AQ39" s="20">
        <v>72.2</v>
      </c>
      <c r="AR39" s="22"/>
      <c r="AS39" s="22">
        <v>0.72893915812174503</v>
      </c>
      <c r="AT39" s="22"/>
      <c r="AU39" s="22"/>
    </row>
    <row r="40" spans="1:47" ht="16" customHeight="1" x14ac:dyDescent="0.2">
      <c r="A40" s="18" t="s">
        <v>152</v>
      </c>
      <c r="B40" s="19">
        <v>1500626.4343678199</v>
      </c>
      <c r="C40" s="19">
        <v>841747.01928086905</v>
      </c>
      <c r="D40" s="19">
        <v>303862.92318980797</v>
      </c>
      <c r="E40" s="19">
        <v>331101.05349264701</v>
      </c>
      <c r="F40" s="19">
        <v>227834.14615648301</v>
      </c>
      <c r="G40" s="19">
        <v>207724.66798260901</v>
      </c>
      <c r="H40" s="19">
        <v>133943.68965660399</v>
      </c>
      <c r="I40" s="20"/>
      <c r="J40" s="21">
        <v>25.361749316577001</v>
      </c>
      <c r="K40" s="21">
        <v>25.529906699383599</v>
      </c>
      <c r="L40" s="21">
        <v>23.285865459541899</v>
      </c>
      <c r="M40" s="21">
        <v>28.649534693713601</v>
      </c>
      <c r="N40" s="21">
        <v>39.481134041478597</v>
      </c>
      <c r="O40" s="21">
        <v>42.723012742994598</v>
      </c>
      <c r="P40" s="21">
        <v>29.825084012840598</v>
      </c>
      <c r="Q40" s="21">
        <v>59.993829463747701</v>
      </c>
      <c r="R40" s="21">
        <v>21.347667398032101</v>
      </c>
      <c r="S40" s="21">
        <v>73.499048441957697</v>
      </c>
      <c r="T40" s="22">
        <v>20.46</v>
      </c>
      <c r="U40" s="19">
        <v>211935.10342959201</v>
      </c>
      <c r="V40" s="19">
        <v>131304.654541778</v>
      </c>
      <c r="W40" s="19">
        <v>125529.37893434599</v>
      </c>
      <c r="X40" s="19">
        <v>101583.70518364001</v>
      </c>
      <c r="Y40" s="21">
        <v>4.3983784334124296</v>
      </c>
      <c r="Z40" s="19">
        <v>57604548.7217943</v>
      </c>
      <c r="AA40" s="22">
        <v>0.141231087615003</v>
      </c>
      <c r="AB40" s="22">
        <v>1.68833069380864</v>
      </c>
      <c r="AC40" s="20">
        <v>11.95438428125</v>
      </c>
      <c r="AD40" s="20">
        <v>26.050485034006901</v>
      </c>
      <c r="AE40" s="20">
        <v>1.4200197993195001</v>
      </c>
      <c r="AF40" s="20">
        <v>0.73877068557919601</v>
      </c>
      <c r="AG40" s="20">
        <v>7.6970246309999997</v>
      </c>
      <c r="AH40" s="20">
        <v>9.7296626666666697</v>
      </c>
      <c r="AI40" s="21">
        <f t="shared" si="0"/>
        <v>2.03263803566667</v>
      </c>
      <c r="AJ40" s="20"/>
      <c r="AK40" s="20"/>
      <c r="AL40" s="20"/>
      <c r="AM40" s="20">
        <v>99.304199999999994</v>
      </c>
      <c r="AN40" s="19">
        <v>4908953.9613955002</v>
      </c>
      <c r="AO40" s="20">
        <v>7238.7269999999999</v>
      </c>
      <c r="AP40" s="20">
        <v>69.2</v>
      </c>
      <c r="AQ40" s="20">
        <v>74.832999999999998</v>
      </c>
      <c r="AR40" s="22"/>
      <c r="AS40" s="22">
        <v>0.90466270446777297</v>
      </c>
      <c r="AT40" s="22"/>
      <c r="AU40" s="22"/>
    </row>
    <row r="41" spans="1:47" ht="16" customHeight="1" x14ac:dyDescent="0.2">
      <c r="A41" s="18" t="s">
        <v>153</v>
      </c>
      <c r="B41" s="19">
        <v>1524666.14262115</v>
      </c>
      <c r="C41" s="19">
        <v>857765.71223078901</v>
      </c>
      <c r="D41" s="19">
        <v>306538.39733433799</v>
      </c>
      <c r="E41" s="19">
        <v>344134.800880878</v>
      </c>
      <c r="F41" s="19">
        <v>228960.34873527099</v>
      </c>
      <c r="G41" s="19">
        <v>215784.50293127701</v>
      </c>
      <c r="H41" s="19">
        <v>142172.006384095</v>
      </c>
      <c r="I41" s="20"/>
      <c r="J41" s="21">
        <v>25.970400979379601</v>
      </c>
      <c r="K41" s="21">
        <v>26.164290327724199</v>
      </c>
      <c r="L41" s="21">
        <v>23.907620195320501</v>
      </c>
      <c r="M41" s="21">
        <v>29.420412703487798</v>
      </c>
      <c r="N41" s="21">
        <v>41.00354840304</v>
      </c>
      <c r="O41" s="21">
        <v>44.516376368689002</v>
      </c>
      <c r="P41" s="21">
        <v>30.506254372517599</v>
      </c>
      <c r="Q41" s="21">
        <v>77.261419788403401</v>
      </c>
      <c r="R41" s="21">
        <v>30.890972524048699</v>
      </c>
      <c r="S41" s="21">
        <v>79.469455505289702</v>
      </c>
      <c r="T41" s="22">
        <v>21.22</v>
      </c>
      <c r="U41" s="19">
        <v>217982.43291384101</v>
      </c>
      <c r="V41" s="19">
        <v>131920.015432124</v>
      </c>
      <c r="W41" s="19">
        <v>125934.636734158</v>
      </c>
      <c r="X41" s="19">
        <v>102008.700310848</v>
      </c>
      <c r="Y41" s="21">
        <v>4.5371270450206698</v>
      </c>
      <c r="Z41" s="19">
        <v>57725184.410554901</v>
      </c>
      <c r="AA41" s="22">
        <v>0.142970599805603</v>
      </c>
      <c r="AB41" s="22">
        <v>1.7309172326751601</v>
      </c>
      <c r="AC41" s="20">
        <v>12.106805420336</v>
      </c>
      <c r="AD41" s="20">
        <v>26.4124949654102</v>
      </c>
      <c r="AE41" s="20">
        <v>1.4098550115019901</v>
      </c>
      <c r="AF41" s="20">
        <v>0.75069439231288904</v>
      </c>
      <c r="AG41" s="20">
        <v>9.3504668970000004</v>
      </c>
      <c r="AH41" s="20">
        <v>10.1758586666667</v>
      </c>
      <c r="AI41" s="21">
        <f t="shared" si="0"/>
        <v>0.82539176966669991</v>
      </c>
      <c r="AJ41" s="20"/>
      <c r="AK41" s="20"/>
      <c r="AL41" s="20"/>
      <c r="AM41" s="20">
        <v>101.1797</v>
      </c>
      <c r="AN41" s="19">
        <v>5010092.6637880504</v>
      </c>
      <c r="AO41" s="20">
        <v>7246.4539999999997</v>
      </c>
      <c r="AP41" s="20">
        <v>71.400000000000006</v>
      </c>
      <c r="AQ41" s="20">
        <v>77.466999999999999</v>
      </c>
      <c r="AR41" s="22"/>
      <c r="AS41" s="22">
        <v>0.90583259582519504</v>
      </c>
      <c r="AT41" s="22"/>
      <c r="AU41" s="22"/>
    </row>
    <row r="42" spans="1:47" ht="16" customHeight="1" x14ac:dyDescent="0.2">
      <c r="A42" s="18" t="s">
        <v>154</v>
      </c>
      <c r="B42" s="19">
        <v>1532443.91709189</v>
      </c>
      <c r="C42" s="19">
        <v>854567.919263358</v>
      </c>
      <c r="D42" s="19">
        <v>308702.98225657002</v>
      </c>
      <c r="E42" s="19">
        <v>346326.65877234098</v>
      </c>
      <c r="F42" s="19">
        <v>235196.23365299701</v>
      </c>
      <c r="G42" s="19">
        <v>220109.94665298899</v>
      </c>
      <c r="H42" s="19">
        <v>144272.86451220699</v>
      </c>
      <c r="I42" s="20"/>
      <c r="J42" s="21">
        <v>26.726147874804202</v>
      </c>
      <c r="K42" s="21">
        <v>26.970221177357899</v>
      </c>
      <c r="L42" s="21">
        <v>24.7517907630819</v>
      </c>
      <c r="M42" s="21">
        <v>30.3733589645162</v>
      </c>
      <c r="N42" s="21">
        <v>42.356184588307599</v>
      </c>
      <c r="O42" s="21">
        <v>46.875260853691302</v>
      </c>
      <c r="P42" s="21">
        <v>31.237077513645399</v>
      </c>
      <c r="Q42" s="21">
        <v>85.520567613385495</v>
      </c>
      <c r="R42" s="21">
        <v>35.662575209329397</v>
      </c>
      <c r="S42" s="21">
        <v>82.584450494710396</v>
      </c>
      <c r="T42" s="22">
        <v>21.7</v>
      </c>
      <c r="U42" s="19">
        <v>227196.50954725</v>
      </c>
      <c r="V42" s="19">
        <v>132591.45208029501</v>
      </c>
      <c r="W42" s="19">
        <v>126419.49148547099</v>
      </c>
      <c r="X42" s="19">
        <v>102514.245160006</v>
      </c>
      <c r="Y42" s="21">
        <v>4.6548706556785602</v>
      </c>
      <c r="Z42" s="19">
        <v>57857458.815385699</v>
      </c>
      <c r="AA42" s="22">
        <v>0.148257634105397</v>
      </c>
      <c r="AB42" s="22">
        <v>1.7971636088519001</v>
      </c>
      <c r="AC42" s="20">
        <v>12.121895912451199</v>
      </c>
      <c r="AD42" s="20">
        <v>26.486540343600002</v>
      </c>
      <c r="AE42" s="20">
        <v>1.42810173606375</v>
      </c>
      <c r="AF42" s="20">
        <v>0.71983875611862902</v>
      </c>
      <c r="AG42" s="20">
        <v>11.022080144</v>
      </c>
      <c r="AH42" s="20">
        <v>10.59957</v>
      </c>
      <c r="AI42" s="21">
        <f t="shared" si="0"/>
        <v>-0.42251014400000031</v>
      </c>
      <c r="AJ42" s="20"/>
      <c r="AK42" s="20"/>
      <c r="AL42" s="20"/>
      <c r="AM42" s="20">
        <v>106.22410000000001</v>
      </c>
      <c r="AN42" s="19">
        <v>4993253.2618700499</v>
      </c>
      <c r="AO42" s="20">
        <v>7300.2809999999999</v>
      </c>
      <c r="AP42" s="20">
        <v>73.7</v>
      </c>
      <c r="AQ42" s="20">
        <v>79.900000000000006</v>
      </c>
      <c r="AR42" s="22"/>
      <c r="AS42" s="22">
        <v>0.75315925598144495</v>
      </c>
      <c r="AT42" s="22"/>
      <c r="AU42" s="22"/>
    </row>
    <row r="43" spans="1:47" ht="16" customHeight="1" x14ac:dyDescent="0.2">
      <c r="A43" s="18" t="s">
        <v>155</v>
      </c>
      <c r="B43" s="19">
        <v>1546999.4151447201</v>
      </c>
      <c r="C43" s="19">
        <v>863282.12603292905</v>
      </c>
      <c r="D43" s="19">
        <v>310258.01299159101</v>
      </c>
      <c r="E43" s="19">
        <v>351765.67156313598</v>
      </c>
      <c r="F43" s="19">
        <v>236365.569883713</v>
      </c>
      <c r="G43" s="19">
        <v>223694.236994301</v>
      </c>
      <c r="H43" s="19">
        <v>150381.17023348299</v>
      </c>
      <c r="I43" s="20"/>
      <c r="J43" s="21">
        <v>27.443727148903299</v>
      </c>
      <c r="K43" s="21">
        <v>27.795791597727298</v>
      </c>
      <c r="L43" s="21">
        <v>25.419177834206401</v>
      </c>
      <c r="M43" s="21">
        <v>31.344858290403501</v>
      </c>
      <c r="N43" s="21">
        <v>43.754119210964703</v>
      </c>
      <c r="O43" s="21">
        <v>49.2935079001616</v>
      </c>
      <c r="P43" s="21">
        <v>32.0243562882603</v>
      </c>
      <c r="Q43" s="21">
        <v>92.334778603779995</v>
      </c>
      <c r="R43" s="21">
        <v>40.234666984348102</v>
      </c>
      <c r="S43" s="21">
        <v>83.474449063116296</v>
      </c>
      <c r="T43" s="22">
        <v>21.81</v>
      </c>
      <c r="U43" s="19">
        <v>235336.73412354899</v>
      </c>
      <c r="V43" s="19">
        <v>132851.54626870301</v>
      </c>
      <c r="W43" s="19">
        <v>126764.25311386</v>
      </c>
      <c r="X43" s="19">
        <v>102847.682908569</v>
      </c>
      <c r="Y43" s="21">
        <v>4.5820265746331099</v>
      </c>
      <c r="Z43" s="19">
        <v>57909709.447580397</v>
      </c>
      <c r="AA43" s="22">
        <v>0.15212464324140201</v>
      </c>
      <c r="AB43" s="22">
        <v>1.8564913084146</v>
      </c>
      <c r="AC43" s="20">
        <v>12.203751271702799</v>
      </c>
      <c r="AD43" s="20">
        <v>26.713990277313702</v>
      </c>
      <c r="AE43" s="20">
        <v>1.4872342387869799</v>
      </c>
      <c r="AF43" s="20">
        <v>0.71194646162608599</v>
      </c>
      <c r="AG43" s="20">
        <v>12.693692391000001</v>
      </c>
      <c r="AH43" s="20">
        <v>11.134736666666701</v>
      </c>
      <c r="AI43" s="21">
        <f t="shared" si="0"/>
        <v>-1.5589557243333001</v>
      </c>
      <c r="AJ43" s="20"/>
      <c r="AK43" s="20"/>
      <c r="AL43" s="20"/>
      <c r="AM43" s="20">
        <v>105.30589999999999</v>
      </c>
      <c r="AN43" s="19">
        <v>5026975.11981533</v>
      </c>
      <c r="AO43" s="20">
        <v>7318.5349999999999</v>
      </c>
      <c r="AP43" s="20">
        <v>76.033000000000001</v>
      </c>
      <c r="AQ43" s="20">
        <v>82.7</v>
      </c>
      <c r="AR43" s="22"/>
      <c r="AS43" s="22">
        <v>0.89038859049479202</v>
      </c>
      <c r="AT43" s="22"/>
      <c r="AU43" s="22"/>
    </row>
    <row r="44" spans="1:47" ht="16" customHeight="1" x14ac:dyDescent="0.2">
      <c r="A44" s="18" t="s">
        <v>156</v>
      </c>
      <c r="B44" s="19">
        <v>1561600.26743396</v>
      </c>
      <c r="C44" s="19">
        <v>871137.69416694704</v>
      </c>
      <c r="D44" s="19">
        <v>313057.22256549599</v>
      </c>
      <c r="E44" s="19">
        <v>355506.33486536698</v>
      </c>
      <c r="F44" s="19">
        <v>243957.56872319899</v>
      </c>
      <c r="G44" s="19">
        <v>229674.739895848</v>
      </c>
      <c r="H44" s="19">
        <v>155853.80752329499</v>
      </c>
      <c r="I44" s="20">
        <v>82.2</v>
      </c>
      <c r="J44" s="21">
        <v>28.248246216618199</v>
      </c>
      <c r="K44" s="21">
        <v>28.669701644283499</v>
      </c>
      <c r="L44" s="21">
        <v>26.137163632226802</v>
      </c>
      <c r="M44" s="21">
        <v>32.722394498767599</v>
      </c>
      <c r="N44" s="21">
        <v>45.354618486131301</v>
      </c>
      <c r="O44" s="21">
        <v>52.313511001503002</v>
      </c>
      <c r="P44" s="21">
        <v>33.126531488387002</v>
      </c>
      <c r="Q44" s="21">
        <v>92.520811156394601</v>
      </c>
      <c r="R44" s="21">
        <v>38.821531206962497</v>
      </c>
      <c r="S44" s="21">
        <v>88.517774283807498</v>
      </c>
      <c r="T44" s="22">
        <v>22.27</v>
      </c>
      <c r="U44" s="19">
        <v>244073.47740650101</v>
      </c>
      <c r="V44" s="19">
        <v>133024.068923174</v>
      </c>
      <c r="W44" s="19">
        <v>126869.335311893</v>
      </c>
      <c r="X44" s="19">
        <v>103153.74413727599</v>
      </c>
      <c r="Y44" s="21">
        <v>4.6267819508926804</v>
      </c>
      <c r="Z44" s="19">
        <v>57847731.1181743</v>
      </c>
      <c r="AA44" s="22">
        <v>0.15629702587562</v>
      </c>
      <c r="AB44" s="22">
        <v>1.92381773583408</v>
      </c>
      <c r="AC44" s="20">
        <v>12.3087290052789</v>
      </c>
      <c r="AD44" s="20">
        <v>26.995013239911501</v>
      </c>
      <c r="AE44" s="20">
        <v>1.4867801548164501</v>
      </c>
      <c r="AF44" s="20">
        <v>0.70866699737793204</v>
      </c>
      <c r="AG44" s="20">
        <v>12.735106889000001</v>
      </c>
      <c r="AH44" s="20">
        <v>12.0908466666667</v>
      </c>
      <c r="AI44" s="21">
        <f t="shared" si="0"/>
        <v>-0.64426022233330116</v>
      </c>
      <c r="AJ44" s="21">
        <v>451370</v>
      </c>
      <c r="AK44" s="21">
        <v>1088333</v>
      </c>
      <c r="AL44" s="21">
        <v>1117228</v>
      </c>
      <c r="AM44" s="20">
        <v>110.2565</v>
      </c>
      <c r="AN44" s="19">
        <v>5079095.84898475</v>
      </c>
      <c r="AO44" s="21">
        <v>7341.5569999999998</v>
      </c>
      <c r="AP44" s="21">
        <v>79.033000000000001</v>
      </c>
      <c r="AQ44" s="21">
        <v>86.533000000000001</v>
      </c>
      <c r="AR44" s="22">
        <v>9.69E-2</v>
      </c>
      <c r="AS44" s="22">
        <v>1.1585181427002</v>
      </c>
      <c r="AT44" s="20">
        <v>101.3</v>
      </c>
      <c r="AU44" s="20">
        <v>-2.5</v>
      </c>
    </row>
    <row r="45" spans="1:47" ht="16" customHeight="1" x14ac:dyDescent="0.2">
      <c r="A45" s="18" t="s">
        <v>157</v>
      </c>
      <c r="B45" s="19">
        <v>1554267.6732188</v>
      </c>
      <c r="C45" s="19">
        <v>865809.79771849199</v>
      </c>
      <c r="D45" s="19">
        <v>316685.40310620703</v>
      </c>
      <c r="E45" s="19">
        <v>349536.70489880501</v>
      </c>
      <c r="F45" s="19">
        <v>233313.292489821</v>
      </c>
      <c r="G45" s="19">
        <v>223495.12016352999</v>
      </c>
      <c r="H45" s="19">
        <v>158813.54523057901</v>
      </c>
      <c r="I45" s="20">
        <v>82.4</v>
      </c>
      <c r="J45" s="21">
        <v>28.9984228317477</v>
      </c>
      <c r="K45" s="21">
        <v>29.466597230845998</v>
      </c>
      <c r="L45" s="21">
        <v>27.090786745799001</v>
      </c>
      <c r="M45" s="21">
        <v>33.761904335317602</v>
      </c>
      <c r="N45" s="21">
        <v>46.593731702799502</v>
      </c>
      <c r="O45" s="21">
        <v>54.660038628812799</v>
      </c>
      <c r="P45" s="21">
        <v>33.986161276285102</v>
      </c>
      <c r="Q45" s="21">
        <v>89.728849834688205</v>
      </c>
      <c r="R45" s="21">
        <v>38.123243021045496</v>
      </c>
      <c r="S45" s="21">
        <v>84.253197810471505</v>
      </c>
      <c r="T45" s="22">
        <v>23.23</v>
      </c>
      <c r="U45" s="19">
        <v>250228.40400132601</v>
      </c>
      <c r="V45" s="19">
        <v>133492.37701256</v>
      </c>
      <c r="W45" s="19">
        <v>127115.519819975</v>
      </c>
      <c r="X45" s="19">
        <v>103066.76452093299</v>
      </c>
      <c r="Y45" s="21">
        <v>4.7769448228381899</v>
      </c>
      <c r="Z45" s="19">
        <v>57853365.648554899</v>
      </c>
      <c r="AA45" s="22">
        <v>0.16099440805013801</v>
      </c>
      <c r="AB45" s="22">
        <v>1.9685118257448599</v>
      </c>
      <c r="AC45" s="20">
        <v>12.2272062091238</v>
      </c>
      <c r="AD45" s="20">
        <v>26.865639635567501</v>
      </c>
      <c r="AE45" s="20">
        <v>1.44724137882612</v>
      </c>
      <c r="AF45" s="20">
        <v>0.718855581913594</v>
      </c>
      <c r="AG45" s="20">
        <v>13.237090305000001</v>
      </c>
      <c r="AH45" s="20">
        <v>12.314</v>
      </c>
      <c r="AI45" s="21">
        <f t="shared" si="0"/>
        <v>-0.92309030500000055</v>
      </c>
      <c r="AJ45" s="21">
        <v>458753</v>
      </c>
      <c r="AK45" s="21">
        <v>1109205</v>
      </c>
      <c r="AL45" s="21">
        <v>1139157</v>
      </c>
      <c r="AM45" s="20">
        <v>108.4345</v>
      </c>
      <c r="AN45" s="19">
        <v>5016091.7469736002</v>
      </c>
      <c r="AO45" s="21">
        <v>7190.2889999999998</v>
      </c>
      <c r="AP45" s="21">
        <v>81.7</v>
      </c>
      <c r="AQ45" s="21">
        <v>88.266999999999996</v>
      </c>
      <c r="AR45" s="22">
        <v>0.2717</v>
      </c>
      <c r="AS45" s="22">
        <v>0.98617713928222706</v>
      </c>
      <c r="AT45" s="20">
        <v>93.4</v>
      </c>
      <c r="AU45" s="20">
        <v>-8</v>
      </c>
    </row>
    <row r="46" spans="1:47" ht="16" customHeight="1" x14ac:dyDescent="0.2">
      <c r="A46" s="18" t="s">
        <v>158</v>
      </c>
      <c r="B46" s="19">
        <v>1553381.6646330501</v>
      </c>
      <c r="C46" s="19">
        <v>872080.04915335297</v>
      </c>
      <c r="D46" s="19">
        <v>318760.00829814799</v>
      </c>
      <c r="E46" s="19">
        <v>348183.015774164</v>
      </c>
      <c r="F46" s="19">
        <v>230622.996284122</v>
      </c>
      <c r="G46" s="19">
        <v>225223.460308949</v>
      </c>
      <c r="H46" s="19">
        <v>161560.29511455999</v>
      </c>
      <c r="I46" s="20">
        <v>80.599999999999994</v>
      </c>
      <c r="J46" s="21">
        <v>29.683762507733</v>
      </c>
      <c r="K46" s="21">
        <v>30.240099028753299</v>
      </c>
      <c r="L46" s="21">
        <v>27.9010802885788</v>
      </c>
      <c r="M46" s="21">
        <v>34.642640914180298</v>
      </c>
      <c r="N46" s="21">
        <v>47.428838966735199</v>
      </c>
      <c r="O46" s="21">
        <v>55.381771890479598</v>
      </c>
      <c r="P46" s="21">
        <v>34.767567156720602</v>
      </c>
      <c r="Q46" s="21">
        <v>85.390429603198797</v>
      </c>
      <c r="R46" s="21">
        <v>34.714898385585002</v>
      </c>
      <c r="S46" s="21">
        <v>85.662362210723103</v>
      </c>
      <c r="T46" s="22">
        <v>24.55</v>
      </c>
      <c r="U46" s="19">
        <v>256931.551008968</v>
      </c>
      <c r="V46" s="19">
        <v>133888.34045264201</v>
      </c>
      <c r="W46" s="19">
        <v>127182.706692445</v>
      </c>
      <c r="X46" s="19">
        <v>103169.33564267799</v>
      </c>
      <c r="Y46" s="21">
        <v>5.0083776806308196</v>
      </c>
      <c r="Z46" s="19">
        <v>57773293.3068235</v>
      </c>
      <c r="AA46" s="22">
        <v>0.16540143150824599</v>
      </c>
      <c r="AB46" s="22">
        <v>2.0201767810326898</v>
      </c>
      <c r="AC46" s="20">
        <v>12.2137805133324</v>
      </c>
      <c r="AD46" s="20">
        <v>26.887538786880601</v>
      </c>
      <c r="AE46" s="20">
        <v>1.43774775061031</v>
      </c>
      <c r="AF46" s="20">
        <v>0.70264193367060102</v>
      </c>
      <c r="AG46" s="20">
        <v>12.239029242999999</v>
      </c>
      <c r="AH46" s="20">
        <v>12.2471433333333</v>
      </c>
      <c r="AI46" s="21">
        <f t="shared" si="0"/>
        <v>8.1140903333007941E-3</v>
      </c>
      <c r="AJ46" s="21">
        <v>466718</v>
      </c>
      <c r="AK46" s="21">
        <v>1133419</v>
      </c>
      <c r="AL46" s="21">
        <v>1164470</v>
      </c>
      <c r="AM46" s="20">
        <v>123.18819999999999</v>
      </c>
      <c r="AN46" s="19">
        <v>5018799.8792333696</v>
      </c>
      <c r="AO46" s="21">
        <v>7181.7430000000004</v>
      </c>
      <c r="AP46" s="21">
        <v>83.233000000000004</v>
      </c>
      <c r="AQ46" s="21">
        <v>91.167000000000002</v>
      </c>
      <c r="AR46" s="22">
        <v>4.5699999999999998E-2</v>
      </c>
      <c r="AS46" s="22">
        <v>0.840455729166667</v>
      </c>
      <c r="AT46" s="20">
        <v>81.5</v>
      </c>
      <c r="AU46" s="20">
        <v>-16.600000000000001</v>
      </c>
    </row>
    <row r="47" spans="1:47" ht="16" customHeight="1" x14ac:dyDescent="0.2">
      <c r="A47" s="18" t="s">
        <v>159</v>
      </c>
      <c r="B47" s="19">
        <v>1554111.3328994601</v>
      </c>
      <c r="C47" s="19">
        <v>871600.61608769698</v>
      </c>
      <c r="D47" s="19">
        <v>319989.34772696497</v>
      </c>
      <c r="E47" s="19">
        <v>345115.522486826</v>
      </c>
      <c r="F47" s="19">
        <v>232421.89456843701</v>
      </c>
      <c r="G47" s="19">
        <v>221213.596045949</v>
      </c>
      <c r="H47" s="19">
        <v>163778.07663777701</v>
      </c>
      <c r="I47" s="20">
        <v>77.8</v>
      </c>
      <c r="J47" s="21">
        <v>30.3178620287872</v>
      </c>
      <c r="K47" s="21">
        <v>31.094711866297001</v>
      </c>
      <c r="L47" s="21">
        <v>28.783055318870598</v>
      </c>
      <c r="M47" s="21">
        <v>35.442367285412402</v>
      </c>
      <c r="N47" s="21">
        <v>48.6292744810819</v>
      </c>
      <c r="O47" s="21">
        <v>57.349804653060403</v>
      </c>
      <c r="P47" s="21">
        <v>35.621301281136098</v>
      </c>
      <c r="Q47" s="21">
        <v>92.096209205767494</v>
      </c>
      <c r="R47" s="21">
        <v>39.536378798431201</v>
      </c>
      <c r="S47" s="21">
        <v>85.143196378877406</v>
      </c>
      <c r="T47" s="22">
        <v>25.56</v>
      </c>
      <c r="U47" s="19">
        <v>263806.28451713303</v>
      </c>
      <c r="V47" s="19">
        <v>134085.156229955</v>
      </c>
      <c r="W47" s="19">
        <v>127164.097725887</v>
      </c>
      <c r="X47" s="19">
        <v>103041.20772823899</v>
      </c>
      <c r="Y47" s="21">
        <v>5.1616888093100401</v>
      </c>
      <c r="Z47" s="19">
        <v>57639155.856345601</v>
      </c>
      <c r="AA47" s="22">
        <v>0.169747352671933</v>
      </c>
      <c r="AB47" s="22">
        <v>2.0745343161698799</v>
      </c>
      <c r="AC47" s="20">
        <v>12.221305861419101</v>
      </c>
      <c r="AD47" s="20">
        <v>26.962770530033101</v>
      </c>
      <c r="AE47" s="20">
        <v>1.34847167048827</v>
      </c>
      <c r="AF47" s="20">
        <v>0.74510096118024005</v>
      </c>
      <c r="AG47" s="20">
        <v>12.663299259</v>
      </c>
      <c r="AH47" s="20">
        <v>12.836646666666701</v>
      </c>
      <c r="AI47" s="21">
        <f t="shared" si="0"/>
        <v>0.17334740766670009</v>
      </c>
      <c r="AJ47" s="21">
        <v>473379</v>
      </c>
      <c r="AK47" s="21">
        <v>1165452</v>
      </c>
      <c r="AL47" s="21">
        <v>1198927</v>
      </c>
      <c r="AM47" s="20">
        <v>133.11949999999999</v>
      </c>
      <c r="AN47" s="19">
        <v>5032589.6873950204</v>
      </c>
      <c r="AO47" s="21">
        <v>7315.6769999999997</v>
      </c>
      <c r="AP47" s="21">
        <v>85.566999999999993</v>
      </c>
      <c r="AQ47" s="21">
        <v>93.266999999999996</v>
      </c>
      <c r="AR47" s="22">
        <v>0.21820000000000001</v>
      </c>
      <c r="AS47" s="22">
        <v>1.0971580505371099</v>
      </c>
      <c r="AT47" s="20">
        <v>75</v>
      </c>
      <c r="AU47" s="20">
        <v>-21.6</v>
      </c>
    </row>
    <row r="48" spans="1:47" ht="16" customHeight="1" x14ac:dyDescent="0.2">
      <c r="A48" s="18" t="s">
        <v>160</v>
      </c>
      <c r="B48" s="19">
        <v>1555610.8603540601</v>
      </c>
      <c r="C48" s="19">
        <v>870980.77353065996</v>
      </c>
      <c r="D48" s="19">
        <v>327844.05732575699</v>
      </c>
      <c r="E48" s="19">
        <v>341700.53305619402</v>
      </c>
      <c r="F48" s="19">
        <v>236730.05537330799</v>
      </c>
      <c r="G48" s="19">
        <v>221226.37656351199</v>
      </c>
      <c r="H48" s="19">
        <v>169225.58675125599</v>
      </c>
      <c r="I48" s="20">
        <v>77.400000000000006</v>
      </c>
      <c r="J48" s="21">
        <v>31.014193161017801</v>
      </c>
      <c r="K48" s="21">
        <v>31.917389683616001</v>
      </c>
      <c r="L48" s="21">
        <v>29.5687558043726</v>
      </c>
      <c r="M48" s="21">
        <v>36.487900122975098</v>
      </c>
      <c r="N48" s="21">
        <v>50.491234736321402</v>
      </c>
      <c r="O48" s="21">
        <v>60.876151973677899</v>
      </c>
      <c r="P48" s="21">
        <v>36.7848195533427</v>
      </c>
      <c r="Q48" s="21">
        <v>89.597161023149596</v>
      </c>
      <c r="R48" s="21">
        <v>39.021042117224503</v>
      </c>
      <c r="S48" s="21">
        <v>81.064036273408007</v>
      </c>
      <c r="T48" s="22">
        <v>26.7</v>
      </c>
      <c r="U48" s="19">
        <v>269436.48304626701</v>
      </c>
      <c r="V48" s="19">
        <v>134309.67030159201</v>
      </c>
      <c r="W48" s="19">
        <v>127102.719769734</v>
      </c>
      <c r="X48" s="19">
        <v>102955.342027181</v>
      </c>
      <c r="Y48" s="21">
        <v>5.3659207975678003</v>
      </c>
      <c r="Z48" s="19">
        <v>57461933.364395998</v>
      </c>
      <c r="AA48" s="22">
        <v>0.173203009771314</v>
      </c>
      <c r="AB48" s="22">
        <v>2.1198325538146801</v>
      </c>
      <c r="AC48" s="20">
        <v>12.239005295656099</v>
      </c>
      <c r="AD48" s="20">
        <v>27.072024369405099</v>
      </c>
      <c r="AE48" s="20">
        <v>1.2611673400116901</v>
      </c>
      <c r="AF48" s="20">
        <v>0.81109579041284796</v>
      </c>
      <c r="AG48" s="20">
        <v>13.432882043999999</v>
      </c>
      <c r="AH48" s="20">
        <v>13.3620133333333</v>
      </c>
      <c r="AI48" s="21">
        <f t="shared" si="0"/>
        <v>-7.0868710666699641E-2</v>
      </c>
      <c r="AJ48" s="21">
        <v>481349</v>
      </c>
      <c r="AK48" s="21">
        <v>1194414</v>
      </c>
      <c r="AL48" s="21">
        <v>1233640</v>
      </c>
      <c r="AM48" s="20">
        <v>131.5341</v>
      </c>
      <c r="AN48" s="19">
        <v>5061174.0145434802</v>
      </c>
      <c r="AO48" s="21">
        <v>7459.0219999999999</v>
      </c>
      <c r="AP48" s="21">
        <v>87.933000000000007</v>
      </c>
      <c r="AQ48" s="21">
        <v>96.1</v>
      </c>
      <c r="AR48" s="22">
        <v>0.2455</v>
      </c>
      <c r="AS48" s="22">
        <v>0.98410408020019602</v>
      </c>
      <c r="AT48" s="20">
        <v>67.5</v>
      </c>
      <c r="AU48" s="20">
        <v>-26.4</v>
      </c>
    </row>
    <row r="49" spans="1:47" ht="16" customHeight="1" x14ac:dyDescent="0.2">
      <c r="A49" s="18" t="s">
        <v>161</v>
      </c>
      <c r="B49" s="19">
        <v>1560270.7721597101</v>
      </c>
      <c r="C49" s="19">
        <v>869970.65007632505</v>
      </c>
      <c r="D49" s="19">
        <v>325012.89006510499</v>
      </c>
      <c r="E49" s="19">
        <v>341238.23672374</v>
      </c>
      <c r="F49" s="19">
        <v>246917.77842577299</v>
      </c>
      <c r="G49" s="19">
        <v>221298.82660900801</v>
      </c>
      <c r="H49" s="19">
        <v>174134.35903621299</v>
      </c>
      <c r="I49" s="20">
        <v>77.2</v>
      </c>
      <c r="J49" s="21">
        <v>31.948987228007301</v>
      </c>
      <c r="K49" s="21">
        <v>32.910304760344602</v>
      </c>
      <c r="L49" s="21">
        <v>30.4784909553712</v>
      </c>
      <c r="M49" s="21">
        <v>37.623592433874002</v>
      </c>
      <c r="N49" s="21">
        <v>52.456436279802197</v>
      </c>
      <c r="O49" s="21">
        <v>63.931294635804399</v>
      </c>
      <c r="P49" s="21">
        <v>37.768239052343098</v>
      </c>
      <c r="Q49" s="21">
        <v>81.7253623239951</v>
      </c>
      <c r="R49" s="21">
        <v>35.123895751622001</v>
      </c>
      <c r="S49" s="21">
        <v>75.427378674055106</v>
      </c>
      <c r="T49" s="22">
        <v>27.53</v>
      </c>
      <c r="U49" s="19">
        <v>279291.70131536498</v>
      </c>
      <c r="V49" s="19">
        <v>134648.08949050301</v>
      </c>
      <c r="W49" s="19">
        <v>126832.135708364</v>
      </c>
      <c r="X49" s="19">
        <v>102748.947588122</v>
      </c>
      <c r="Y49" s="21">
        <v>5.8047268340110802</v>
      </c>
      <c r="Z49" s="19">
        <v>57166744.7083354</v>
      </c>
      <c r="AA49" s="22">
        <v>0.17900207213955099</v>
      </c>
      <c r="AB49" s="22">
        <v>2.2020578598279199</v>
      </c>
      <c r="AC49" s="20">
        <v>12.301856808178099</v>
      </c>
      <c r="AD49" s="20">
        <v>27.293329017074601</v>
      </c>
      <c r="AE49" s="20">
        <v>1.2086605447474801</v>
      </c>
      <c r="AF49" s="20">
        <v>0.89678055779750698</v>
      </c>
      <c r="AG49" s="20">
        <v>15.507875287999999</v>
      </c>
      <c r="AH49" s="20">
        <v>14.522169999999999</v>
      </c>
      <c r="AI49" s="21">
        <f t="shared" si="0"/>
        <v>-0.98570528800000012</v>
      </c>
      <c r="AJ49" s="21">
        <v>487093</v>
      </c>
      <c r="AK49" s="21">
        <v>1223076</v>
      </c>
      <c r="AL49" s="21">
        <v>1266536</v>
      </c>
      <c r="AM49" s="20">
        <v>132.8177</v>
      </c>
      <c r="AN49" s="19">
        <v>5061720.4716288699</v>
      </c>
      <c r="AO49" s="21">
        <v>7403.7449999999999</v>
      </c>
      <c r="AP49" s="21">
        <v>89.766999999999996</v>
      </c>
      <c r="AQ49" s="21">
        <v>98.266999999999996</v>
      </c>
      <c r="AR49" s="22">
        <v>0.246</v>
      </c>
      <c r="AS49" s="22">
        <v>1.1013611857096399</v>
      </c>
      <c r="AT49" s="20">
        <v>65.5</v>
      </c>
      <c r="AU49" s="20">
        <v>-27.2</v>
      </c>
    </row>
    <row r="50" spans="1:47" ht="16" customHeight="1" x14ac:dyDescent="0.2">
      <c r="A50" s="18" t="s">
        <v>162</v>
      </c>
      <c r="B50" s="19">
        <v>1564575.5360997701</v>
      </c>
      <c r="C50" s="19">
        <v>872884.91352706205</v>
      </c>
      <c r="D50" s="19">
        <v>327313.23498934897</v>
      </c>
      <c r="E50" s="19">
        <v>338838.51628795097</v>
      </c>
      <c r="F50" s="19">
        <v>256871.67791582301</v>
      </c>
      <c r="G50" s="19">
        <v>222083.08718310299</v>
      </c>
      <c r="H50" s="19">
        <v>178958.26835781799</v>
      </c>
      <c r="I50" s="20">
        <v>77.2</v>
      </c>
      <c r="J50" s="21">
        <v>32.865431784595501</v>
      </c>
      <c r="K50" s="21">
        <v>33.8650804283836</v>
      </c>
      <c r="L50" s="21">
        <v>31.4203171776003</v>
      </c>
      <c r="M50" s="21">
        <v>38.534913440795897</v>
      </c>
      <c r="N50" s="21">
        <v>53.904091170830597</v>
      </c>
      <c r="O50" s="21">
        <v>66.342666764384504</v>
      </c>
      <c r="P50" s="21">
        <v>38.724472045988897</v>
      </c>
      <c r="Q50" s="21">
        <v>80.226515137143906</v>
      </c>
      <c r="R50" s="21">
        <v>35.502966481119799</v>
      </c>
      <c r="S50" s="21">
        <v>70.866136010147898</v>
      </c>
      <c r="T50" s="22">
        <v>27.67</v>
      </c>
      <c r="U50" s="19">
        <v>288351.37320245802</v>
      </c>
      <c r="V50" s="19">
        <v>134921.02450803199</v>
      </c>
      <c r="W50" s="19">
        <v>126628.448324433</v>
      </c>
      <c r="X50" s="19">
        <v>102558.08862854799</v>
      </c>
      <c r="Y50" s="21">
        <v>6.1462446003782398</v>
      </c>
      <c r="Z50" s="19">
        <v>56891620.362355597</v>
      </c>
      <c r="AA50" s="22">
        <v>0.18430006512902</v>
      </c>
      <c r="AB50" s="22">
        <v>2.27714527831596</v>
      </c>
      <c r="AC50" s="20">
        <v>12.355640117228599</v>
      </c>
      <c r="AD50" s="20">
        <v>27.500983908256298</v>
      </c>
      <c r="AE50" s="20">
        <v>1.19084462513666</v>
      </c>
      <c r="AF50" s="20">
        <v>0.96814793300416302</v>
      </c>
      <c r="AG50" s="20">
        <v>16.133415178</v>
      </c>
      <c r="AH50" s="20">
        <v>15.224626666666699</v>
      </c>
      <c r="AI50" s="21">
        <f t="shared" si="0"/>
        <v>-0.90878851133330052</v>
      </c>
      <c r="AJ50" s="21">
        <v>493362</v>
      </c>
      <c r="AK50" s="21">
        <v>1246150</v>
      </c>
      <c r="AL50" s="21">
        <v>1293408</v>
      </c>
      <c r="AM50" s="20">
        <v>125.7247</v>
      </c>
      <c r="AN50" s="19">
        <v>5117716.71541279</v>
      </c>
      <c r="AO50" s="21">
        <v>7492.4049999999997</v>
      </c>
      <c r="AP50" s="21">
        <v>92.266999999999996</v>
      </c>
      <c r="AQ50" s="21">
        <v>98.933000000000007</v>
      </c>
      <c r="AR50" s="22">
        <v>0.33950000000000002</v>
      </c>
      <c r="AS50" s="22">
        <v>0.90097656250000002</v>
      </c>
      <c r="AT50" s="20">
        <v>67.900000000000006</v>
      </c>
      <c r="AU50" s="20">
        <v>-24.5</v>
      </c>
    </row>
    <row r="51" spans="1:47" ht="16" customHeight="1" x14ac:dyDescent="0.2">
      <c r="A51" s="18" t="s">
        <v>163</v>
      </c>
      <c r="B51" s="19">
        <v>1568246.7283694099</v>
      </c>
      <c r="C51" s="19">
        <v>877329.339721884</v>
      </c>
      <c r="D51" s="19">
        <v>328291.789862993</v>
      </c>
      <c r="E51" s="19">
        <v>331211.09833329701</v>
      </c>
      <c r="F51" s="19">
        <v>253850.43504801899</v>
      </c>
      <c r="G51" s="19">
        <v>221812.55121067399</v>
      </c>
      <c r="H51" s="19">
        <v>185286.81965487299</v>
      </c>
      <c r="I51" s="20">
        <v>77.099999999999994</v>
      </c>
      <c r="J51" s="21">
        <v>33.775205954384298</v>
      </c>
      <c r="K51" s="21">
        <v>34.941526734849297</v>
      </c>
      <c r="L51" s="21">
        <v>32.1901773384918</v>
      </c>
      <c r="M51" s="21">
        <v>39.456672210203699</v>
      </c>
      <c r="N51" s="21">
        <v>54.913406122803799</v>
      </c>
      <c r="O51" s="21">
        <v>66.868553938186196</v>
      </c>
      <c r="P51" s="21">
        <v>39.7453467227785</v>
      </c>
      <c r="Q51" s="21">
        <v>80.796756356206998</v>
      </c>
      <c r="R51" s="21">
        <v>36.6967400126724</v>
      </c>
      <c r="S51" s="21">
        <v>68.641139589133104</v>
      </c>
      <c r="T51" s="22">
        <v>27.66</v>
      </c>
      <c r="U51" s="19">
        <v>296732.64926433202</v>
      </c>
      <c r="V51" s="19">
        <v>135296.574299431</v>
      </c>
      <c r="W51" s="19">
        <v>126453.131796328</v>
      </c>
      <c r="X51" s="19">
        <v>102406.53683724201</v>
      </c>
      <c r="Y51" s="21">
        <v>6.53633881633312</v>
      </c>
      <c r="Z51" s="19">
        <v>56643295.397674002</v>
      </c>
      <c r="AA51" s="22">
        <v>0.18921298791603999</v>
      </c>
      <c r="AB51" s="22">
        <v>2.3465820501959902</v>
      </c>
      <c r="AC51" s="20">
        <v>12.4018022020626</v>
      </c>
      <c r="AD51" s="20">
        <v>27.6863610663763</v>
      </c>
      <c r="AE51" s="20">
        <v>1.2246180064047201</v>
      </c>
      <c r="AF51" s="20">
        <v>0.91802074726888805</v>
      </c>
      <c r="AG51" s="20">
        <v>15.426309166999999</v>
      </c>
      <c r="AH51" s="20">
        <v>15.10394</v>
      </c>
      <c r="AI51" s="21">
        <f t="shared" si="0"/>
        <v>-0.32236916699999973</v>
      </c>
      <c r="AJ51" s="21">
        <v>499258</v>
      </c>
      <c r="AK51" s="21">
        <v>1273805</v>
      </c>
      <c r="AL51" s="21">
        <v>1324037</v>
      </c>
      <c r="AM51" s="20">
        <v>122.17319999999999</v>
      </c>
      <c r="AN51" s="19">
        <v>5098218.7038795101</v>
      </c>
      <c r="AO51" s="21">
        <v>7410.768</v>
      </c>
      <c r="AP51" s="21">
        <v>93.766999999999996</v>
      </c>
      <c r="AQ51" s="21">
        <v>98.832999999999998</v>
      </c>
      <c r="AR51" s="22">
        <v>0.41260000000000002</v>
      </c>
      <c r="AS51" s="22">
        <v>1.08032569885254</v>
      </c>
      <c r="AT51" s="20">
        <v>67.7</v>
      </c>
      <c r="AU51" s="20">
        <v>-24.3</v>
      </c>
    </row>
    <row r="52" spans="1:47" ht="16" customHeight="1" x14ac:dyDescent="0.2">
      <c r="A52" s="18" t="s">
        <v>164</v>
      </c>
      <c r="B52" s="19">
        <v>1574728.0366715</v>
      </c>
      <c r="C52" s="19">
        <v>881008.44045925501</v>
      </c>
      <c r="D52" s="19">
        <v>333723.11191266502</v>
      </c>
      <c r="E52" s="19">
        <v>331385.47856723098</v>
      </c>
      <c r="F52" s="19">
        <v>254413.174552084</v>
      </c>
      <c r="G52" s="19">
        <v>227110.24621308999</v>
      </c>
      <c r="H52" s="19">
        <v>193429.55198305199</v>
      </c>
      <c r="I52" s="20">
        <v>76.400000000000006</v>
      </c>
      <c r="J52" s="21">
        <v>34.579965040449601</v>
      </c>
      <c r="K52" s="21">
        <v>35.6167406017777</v>
      </c>
      <c r="L52" s="21">
        <v>32.773702737804904</v>
      </c>
      <c r="M52" s="21">
        <v>40.390092870072401</v>
      </c>
      <c r="N52" s="21">
        <v>56.682517569236097</v>
      </c>
      <c r="O52" s="21">
        <v>67.622317181636703</v>
      </c>
      <c r="P52" s="21">
        <v>40.729083560444799</v>
      </c>
      <c r="Q52" s="21">
        <v>74.7354040516026</v>
      </c>
      <c r="R52" s="21">
        <v>32.177817895238498</v>
      </c>
      <c r="S52" s="21">
        <v>68.789472684418698</v>
      </c>
      <c r="T52" s="22">
        <v>27.96</v>
      </c>
      <c r="U52" s="19">
        <v>303222.25173008803</v>
      </c>
      <c r="V52" s="19">
        <v>135522.407958531</v>
      </c>
      <c r="W52" s="19">
        <v>126365.331028808</v>
      </c>
      <c r="X52" s="19">
        <v>102457.014014167</v>
      </c>
      <c r="Y52" s="21">
        <v>6.75687295382565</v>
      </c>
      <c r="Z52" s="19">
        <v>56474927.667815901</v>
      </c>
      <c r="AA52" s="22">
        <v>0.19255531410427501</v>
      </c>
      <c r="AB52" s="22">
        <v>2.3995683726018302</v>
      </c>
      <c r="AC52" s="20">
        <v>12.461709424972801</v>
      </c>
      <c r="AD52" s="20">
        <v>27.8836662869939</v>
      </c>
      <c r="AE52" s="20">
        <v>1.19412899365873</v>
      </c>
      <c r="AF52" s="20">
        <v>0.96497153333976604</v>
      </c>
      <c r="AG52" s="20">
        <v>14.331319171000001</v>
      </c>
      <c r="AH52" s="20">
        <v>14.7844266666667</v>
      </c>
      <c r="AI52" s="21">
        <f t="shared" si="0"/>
        <v>0.45310749566669983</v>
      </c>
      <c r="AJ52" s="21">
        <v>512323</v>
      </c>
      <c r="AK52" s="21">
        <v>1313351</v>
      </c>
      <c r="AL52" s="21">
        <v>1366026</v>
      </c>
      <c r="AM52" s="20">
        <v>114.2769</v>
      </c>
      <c r="AN52" s="19">
        <v>5085679.0887115002</v>
      </c>
      <c r="AO52" s="21">
        <v>7295.6310000000003</v>
      </c>
      <c r="AP52" s="21">
        <v>94.6</v>
      </c>
      <c r="AQ52" s="21">
        <v>99.7</v>
      </c>
      <c r="AR52" s="22">
        <v>0.1103</v>
      </c>
      <c r="AS52" s="22">
        <v>1.1443186950683599</v>
      </c>
      <c r="AT52" s="20">
        <v>68.599999999999994</v>
      </c>
      <c r="AU52" s="20">
        <v>-24.6</v>
      </c>
    </row>
    <row r="53" spans="1:47" ht="16" customHeight="1" x14ac:dyDescent="0.2">
      <c r="A53" s="18" t="s">
        <v>165</v>
      </c>
      <c r="B53" s="19">
        <v>1576846.0741673501</v>
      </c>
      <c r="C53" s="19">
        <v>878387.81502112804</v>
      </c>
      <c r="D53" s="19">
        <v>333543.24796760001</v>
      </c>
      <c r="E53" s="19">
        <v>331111.08981433598</v>
      </c>
      <c r="F53" s="19">
        <v>251553.935844514</v>
      </c>
      <c r="G53" s="19">
        <v>225590.985341333</v>
      </c>
      <c r="H53" s="19">
        <v>199642.99600107601</v>
      </c>
      <c r="I53" s="20">
        <v>76.400000000000006</v>
      </c>
      <c r="J53" s="21">
        <v>35.545796597969201</v>
      </c>
      <c r="K53" s="21">
        <v>36.573528018846602</v>
      </c>
      <c r="L53" s="21">
        <v>33.408528479646797</v>
      </c>
      <c r="M53" s="21">
        <v>41.302323655461301</v>
      </c>
      <c r="N53" s="21">
        <v>57.665452780961097</v>
      </c>
      <c r="O53" s="21">
        <v>68.389138888551898</v>
      </c>
      <c r="P53" s="21">
        <v>41.674783197493298</v>
      </c>
      <c r="Q53" s="21">
        <v>76.030809056953601</v>
      </c>
      <c r="R53" s="21">
        <v>34.21612110993</v>
      </c>
      <c r="S53" s="21">
        <v>65.489061326304494</v>
      </c>
      <c r="T53" s="22">
        <v>28.32</v>
      </c>
      <c r="U53" s="19">
        <v>310212.22839736898</v>
      </c>
      <c r="V53" s="19">
        <v>135508.774627001</v>
      </c>
      <c r="W53" s="19">
        <v>126192.74860034299</v>
      </c>
      <c r="X53" s="19">
        <v>102290.172572588</v>
      </c>
      <c r="Y53" s="21">
        <v>6.8748507632080802</v>
      </c>
      <c r="Z53" s="19">
        <v>56326733.073944896</v>
      </c>
      <c r="AA53" s="22">
        <v>0.19672955621947699</v>
      </c>
      <c r="AB53" s="22">
        <v>2.4582413160666001</v>
      </c>
      <c r="AC53" s="20">
        <v>12.495536325635401</v>
      </c>
      <c r="AD53" s="20">
        <v>27.994630402180299</v>
      </c>
      <c r="AE53" s="20">
        <v>1.1865025247273</v>
      </c>
      <c r="AF53" s="20">
        <v>0.99810360315400704</v>
      </c>
      <c r="AG53" s="20">
        <v>14.400041219</v>
      </c>
      <c r="AH53" s="20">
        <v>14.5159566666667</v>
      </c>
      <c r="AI53" s="21">
        <f t="shared" si="0"/>
        <v>0.11591544766669948</v>
      </c>
      <c r="AJ53" s="21">
        <v>525037</v>
      </c>
      <c r="AK53" s="21">
        <v>1347524</v>
      </c>
      <c r="AL53" s="21">
        <v>1403542</v>
      </c>
      <c r="AM53" s="20">
        <v>114.0508</v>
      </c>
      <c r="AN53" s="19">
        <v>5125003.3549476098</v>
      </c>
      <c r="AO53" s="21">
        <v>7328.9120000000003</v>
      </c>
      <c r="AP53" s="21">
        <v>95.966999999999999</v>
      </c>
      <c r="AQ53" s="21">
        <v>99.8</v>
      </c>
      <c r="AR53" s="22">
        <v>6.3299999999999995E-2</v>
      </c>
      <c r="AS53" s="22">
        <v>1.6756197611490899</v>
      </c>
      <c r="AT53" s="20">
        <v>67.599999999999994</v>
      </c>
      <c r="AU53" s="20">
        <v>-24.9</v>
      </c>
    </row>
    <row r="54" spans="1:47" ht="16" customHeight="1" x14ac:dyDescent="0.2">
      <c r="A54" s="18" t="s">
        <v>166</v>
      </c>
      <c r="B54" s="19">
        <v>1568435.5203700401</v>
      </c>
      <c r="C54" s="19">
        <v>873572.15373195405</v>
      </c>
      <c r="D54" s="19">
        <v>334749.65375612403</v>
      </c>
      <c r="E54" s="19">
        <v>327887.10401317501</v>
      </c>
      <c r="F54" s="19">
        <v>248248.53197090101</v>
      </c>
      <c r="G54" s="19">
        <v>223294.55869404</v>
      </c>
      <c r="H54" s="19">
        <v>201491.10266669301</v>
      </c>
      <c r="I54" s="20">
        <v>75.7</v>
      </c>
      <c r="J54" s="21">
        <v>36.315595855550903</v>
      </c>
      <c r="K54" s="21">
        <v>37.4711525972291</v>
      </c>
      <c r="L54" s="21">
        <v>34.194639197001301</v>
      </c>
      <c r="M54" s="21">
        <v>42.088514296573699</v>
      </c>
      <c r="N54" s="21">
        <v>58.934874039050399</v>
      </c>
      <c r="O54" s="21">
        <v>70.938689776985896</v>
      </c>
      <c r="P54" s="21">
        <v>42.478199268187502</v>
      </c>
      <c r="Q54" s="21">
        <v>73.3123813033788</v>
      </c>
      <c r="R54" s="21">
        <v>33.517832924013099</v>
      </c>
      <c r="S54" s="21">
        <v>61.669484137171402</v>
      </c>
      <c r="T54" s="22">
        <v>28.8</v>
      </c>
      <c r="U54" s="19">
        <v>316451.15664762398</v>
      </c>
      <c r="V54" s="19">
        <v>135591.83977301299</v>
      </c>
      <c r="W54" s="19">
        <v>125853.542724315</v>
      </c>
      <c r="X54" s="19">
        <v>101939.966490205</v>
      </c>
      <c r="Y54" s="21">
        <v>7.1820671988823097</v>
      </c>
      <c r="Z54" s="19">
        <v>56142194.004378699</v>
      </c>
      <c r="AA54" s="22">
        <v>0.20176229914313801</v>
      </c>
      <c r="AB54" s="22">
        <v>2.5144397988129601</v>
      </c>
      <c r="AC54" s="20">
        <v>12.4623867268142</v>
      </c>
      <c r="AD54" s="20">
        <v>27.936840520477599</v>
      </c>
      <c r="AE54" s="20">
        <v>1.16202832466058</v>
      </c>
      <c r="AF54" s="20">
        <v>1.0519671786240301</v>
      </c>
      <c r="AG54" s="20">
        <v>13.349537282</v>
      </c>
      <c r="AH54" s="20">
        <v>14.268043333333299</v>
      </c>
      <c r="AI54" s="21">
        <f t="shared" si="0"/>
        <v>0.91850605133329921</v>
      </c>
      <c r="AJ54" s="21">
        <v>537908</v>
      </c>
      <c r="AK54" s="21">
        <v>1382740</v>
      </c>
      <c r="AL54" s="21">
        <v>1440564</v>
      </c>
      <c r="AM54" s="20">
        <v>113.79730000000001</v>
      </c>
      <c r="AN54" s="19">
        <v>5102682.6700639799</v>
      </c>
      <c r="AO54" s="21">
        <v>7300.8959999999997</v>
      </c>
      <c r="AP54" s="21">
        <v>97.632999999999996</v>
      </c>
      <c r="AQ54" s="21">
        <v>100.233</v>
      </c>
      <c r="AR54" s="22">
        <v>0.15459999999999999</v>
      </c>
      <c r="AS54" s="22">
        <v>1.0999082438151</v>
      </c>
      <c r="AT54" s="20">
        <v>61.6</v>
      </c>
      <c r="AU54" s="20">
        <v>-30</v>
      </c>
    </row>
    <row r="55" spans="1:47" ht="16" customHeight="1" x14ac:dyDescent="0.2">
      <c r="A55" s="18" t="s">
        <v>167</v>
      </c>
      <c r="B55" s="19">
        <v>1569108.39711474</v>
      </c>
      <c r="C55" s="19">
        <v>879577.02666543901</v>
      </c>
      <c r="D55" s="19">
        <v>335688.10251417098</v>
      </c>
      <c r="E55" s="19">
        <v>325418.27096587198</v>
      </c>
      <c r="F55" s="19">
        <v>253313.73060238699</v>
      </c>
      <c r="G55" s="19">
        <v>221699.07549072799</v>
      </c>
      <c r="H55" s="19">
        <v>205865.76502741899</v>
      </c>
      <c r="I55" s="20">
        <v>74.2</v>
      </c>
      <c r="J55" s="21">
        <v>37.095690771500301</v>
      </c>
      <c r="K55" s="21">
        <v>38.351127327456503</v>
      </c>
      <c r="L55" s="21">
        <v>35.1534262751588</v>
      </c>
      <c r="M55" s="21">
        <v>42.811260759872603</v>
      </c>
      <c r="N55" s="21">
        <v>59.9940075568054</v>
      </c>
      <c r="O55" s="21">
        <v>71.898858234238105</v>
      </c>
      <c r="P55" s="21">
        <v>43.293676331706997</v>
      </c>
      <c r="Q55" s="21">
        <v>72.422306316292804</v>
      </c>
      <c r="R55" s="21">
        <v>33.434736629888903</v>
      </c>
      <c r="S55" s="21">
        <v>60.037820094818201</v>
      </c>
      <c r="T55" s="22">
        <v>28.99</v>
      </c>
      <c r="U55" s="19">
        <v>323072.53341617098</v>
      </c>
      <c r="V55" s="19">
        <v>135854.04974797301</v>
      </c>
      <c r="W55" s="19">
        <v>125664.04186416999</v>
      </c>
      <c r="X55" s="19">
        <v>101687.692998867</v>
      </c>
      <c r="Y55" s="21">
        <v>7.5007023365937604</v>
      </c>
      <c r="Z55" s="19">
        <v>56038080.774553597</v>
      </c>
      <c r="AA55" s="22">
        <v>0.20589561180746599</v>
      </c>
      <c r="AB55" s="22">
        <v>2.5709226650960302</v>
      </c>
      <c r="AC55" s="20">
        <v>12.4865345236212</v>
      </c>
      <c r="AD55" s="20">
        <v>28.0007519070363</v>
      </c>
      <c r="AE55" s="20">
        <v>1.17378350211808</v>
      </c>
      <c r="AF55" s="20">
        <v>1.07112253641817</v>
      </c>
      <c r="AG55" s="20">
        <v>12.606617089</v>
      </c>
      <c r="AH55" s="20">
        <v>13.676353333333299</v>
      </c>
      <c r="AI55" s="21">
        <f t="shared" si="0"/>
        <v>1.0697362443332992</v>
      </c>
      <c r="AJ55" s="21">
        <v>551435</v>
      </c>
      <c r="AK55" s="21">
        <v>1414556</v>
      </c>
      <c r="AL55" s="21">
        <v>1478452</v>
      </c>
      <c r="AM55" s="20">
        <v>136.66630000000001</v>
      </c>
      <c r="AN55" s="19">
        <v>5122797.1595515804</v>
      </c>
      <c r="AO55" s="21">
        <v>7303.817</v>
      </c>
      <c r="AP55" s="21">
        <v>97.933000000000007</v>
      </c>
      <c r="AQ55" s="21">
        <v>100.333</v>
      </c>
      <c r="AR55" s="22">
        <v>9.3200000000000005E-2</v>
      </c>
      <c r="AS55" s="22">
        <v>1.0448714447021501</v>
      </c>
      <c r="AT55" s="20">
        <v>56.6</v>
      </c>
      <c r="AU55" s="20">
        <v>-33.299999999999997</v>
      </c>
    </row>
    <row r="56" spans="1:47" ht="16" customHeight="1" x14ac:dyDescent="0.2">
      <c r="A56" s="18" t="s">
        <v>168</v>
      </c>
      <c r="B56" s="19">
        <v>1579555.7461421399</v>
      </c>
      <c r="C56" s="19">
        <v>884587.98422522901</v>
      </c>
      <c r="D56" s="19">
        <v>339595.24183814297</v>
      </c>
      <c r="E56" s="19">
        <v>328054.73488957802</v>
      </c>
      <c r="F56" s="19">
        <v>255299.943736538</v>
      </c>
      <c r="G56" s="19">
        <v>221870.98316330599</v>
      </c>
      <c r="H56" s="19">
        <v>215310.104962326</v>
      </c>
      <c r="I56" s="20">
        <v>74.099999999999994</v>
      </c>
      <c r="J56" s="21">
        <v>37.883466476246703</v>
      </c>
      <c r="K56" s="21">
        <v>39.021775396987302</v>
      </c>
      <c r="L56" s="21">
        <v>35.614863391777597</v>
      </c>
      <c r="M56" s="21">
        <v>43.425112365063399</v>
      </c>
      <c r="N56" s="21">
        <v>60.625842721032399</v>
      </c>
      <c r="O56" s="21">
        <v>71.702846036908298</v>
      </c>
      <c r="P56" s="21">
        <v>44.173742425290897</v>
      </c>
      <c r="Q56" s="21">
        <v>68.098045104882303</v>
      </c>
      <c r="R56" s="21">
        <v>29.311444647504501</v>
      </c>
      <c r="S56" s="21">
        <v>62.707815800036002</v>
      </c>
      <c r="T56" s="22">
        <v>29.47</v>
      </c>
      <c r="U56" s="19">
        <v>328200.93005904398</v>
      </c>
      <c r="V56" s="19">
        <v>135955.97793467401</v>
      </c>
      <c r="W56" s="19">
        <v>125384.841624124</v>
      </c>
      <c r="X56" s="19">
        <v>101399.625533436</v>
      </c>
      <c r="Y56" s="21">
        <v>7.7754111817200497</v>
      </c>
      <c r="Z56" s="19">
        <v>55882229.581942901</v>
      </c>
      <c r="AA56" s="22">
        <v>0.207780529975363</v>
      </c>
      <c r="AB56" s="22">
        <v>2.6175487069076202</v>
      </c>
      <c r="AC56" s="20">
        <v>12.597661134168799</v>
      </c>
      <c r="AD56" s="20">
        <v>28.265796800858801</v>
      </c>
      <c r="AE56" s="20">
        <v>1.19804066801335</v>
      </c>
      <c r="AF56" s="20">
        <v>1.05496360375567</v>
      </c>
      <c r="AG56" s="20">
        <v>11.886461701</v>
      </c>
      <c r="AH56" s="20">
        <v>12.9965766666667</v>
      </c>
      <c r="AI56" s="21">
        <f t="shared" si="0"/>
        <v>1.1101149656666998</v>
      </c>
      <c r="AJ56" s="21">
        <v>564440</v>
      </c>
      <c r="AK56" s="21">
        <v>1443423</v>
      </c>
      <c r="AL56" s="21">
        <v>1505297</v>
      </c>
      <c r="AM56" s="20">
        <v>147.66560000000001</v>
      </c>
      <c r="AN56" s="19">
        <v>5170001.8562220298</v>
      </c>
      <c r="AO56" s="21">
        <v>7400.0659999999998</v>
      </c>
      <c r="AP56" s="21">
        <v>98</v>
      </c>
      <c r="AQ56" s="21">
        <v>100.367</v>
      </c>
      <c r="AR56" s="22">
        <v>5.2499999999999998E-2</v>
      </c>
      <c r="AS56" s="22">
        <v>0.87408187866210996</v>
      </c>
      <c r="AT56" s="20">
        <v>66.3</v>
      </c>
      <c r="AU56" s="20">
        <v>-27</v>
      </c>
    </row>
    <row r="57" spans="1:47" ht="16" customHeight="1" x14ac:dyDescent="0.2">
      <c r="A57" s="18" t="s">
        <v>169</v>
      </c>
      <c r="B57" s="19">
        <v>1589891.3263902001</v>
      </c>
      <c r="C57" s="19">
        <v>884561.258482276</v>
      </c>
      <c r="D57" s="19">
        <v>340058.72449438903</v>
      </c>
      <c r="E57" s="19">
        <v>328285.16319113597</v>
      </c>
      <c r="F57" s="19">
        <v>258294.669286541</v>
      </c>
      <c r="G57" s="19">
        <v>224165.85122823401</v>
      </c>
      <c r="H57" s="19">
        <v>222119.613191863</v>
      </c>
      <c r="I57" s="20">
        <v>74.900000000000006</v>
      </c>
      <c r="J57" s="21">
        <v>38.593234940410099</v>
      </c>
      <c r="K57" s="21">
        <v>39.831474061114001</v>
      </c>
      <c r="L57" s="21">
        <v>36.3720378045168</v>
      </c>
      <c r="M57" s="21">
        <v>44.235280421146101</v>
      </c>
      <c r="N57" s="21">
        <v>61.732406087610897</v>
      </c>
      <c r="O57" s="21">
        <v>72.840210230502905</v>
      </c>
      <c r="P57" s="21">
        <v>44.935484711245699</v>
      </c>
      <c r="Q57" s="21">
        <v>70.953118673397995</v>
      </c>
      <c r="R57" s="21">
        <v>29.7670278110878</v>
      </c>
      <c r="S57" s="21">
        <v>67.899474116012797</v>
      </c>
      <c r="T57" s="22">
        <v>29.89</v>
      </c>
      <c r="U57" s="19">
        <v>335727.80950350402</v>
      </c>
      <c r="V57" s="19">
        <v>135974.067339612</v>
      </c>
      <c r="W57" s="19">
        <v>125264.835120809</v>
      </c>
      <c r="X57" s="19">
        <v>101171.021413838</v>
      </c>
      <c r="Y57" s="21">
        <v>7.8759372491629396</v>
      </c>
      <c r="Z57" s="19">
        <v>55766949.787118301</v>
      </c>
      <c r="AA57" s="22">
        <v>0.21116399840092501</v>
      </c>
      <c r="AB57" s="22">
        <v>2.68014410572383</v>
      </c>
      <c r="AC57" s="20">
        <v>12.6922398042264</v>
      </c>
      <c r="AD57" s="20">
        <v>28.509562248955</v>
      </c>
      <c r="AE57" s="20">
        <v>1.15437184086259</v>
      </c>
      <c r="AF57" s="20">
        <v>1.0974539069359099</v>
      </c>
      <c r="AG57" s="20">
        <v>11.847544911</v>
      </c>
      <c r="AH57" s="20">
        <v>12.938083333333299</v>
      </c>
      <c r="AI57" s="21">
        <f t="shared" si="0"/>
        <v>1.0905384223332995</v>
      </c>
      <c r="AJ57" s="21">
        <v>581509</v>
      </c>
      <c r="AK57" s="21">
        <v>1474969</v>
      </c>
      <c r="AL57" s="21">
        <v>1538465</v>
      </c>
      <c r="AM57" s="20">
        <v>162.66249999999999</v>
      </c>
      <c r="AN57" s="19">
        <v>5228708.00888946</v>
      </c>
      <c r="AO57" s="21">
        <v>7568.4560000000001</v>
      </c>
      <c r="AP57" s="21">
        <v>99.132999999999996</v>
      </c>
      <c r="AQ57" s="21">
        <v>100.733</v>
      </c>
      <c r="AR57" s="22">
        <v>6.0100000000000001E-2</v>
      </c>
      <c r="AS57" s="22">
        <v>1.0401980590820299</v>
      </c>
      <c r="AT57" s="20">
        <v>73.599999999999994</v>
      </c>
      <c r="AU57" s="20">
        <v>-22.6</v>
      </c>
    </row>
    <row r="58" spans="1:47" ht="16" customHeight="1" x14ac:dyDescent="0.2">
      <c r="A58" s="18" t="s">
        <v>170</v>
      </c>
      <c r="B58" s="19">
        <v>1594021.8200389</v>
      </c>
      <c r="C58" s="19">
        <v>882990.19285505102</v>
      </c>
      <c r="D58" s="19">
        <v>341157.78027078102</v>
      </c>
      <c r="E58" s="19">
        <v>329236.56975540798</v>
      </c>
      <c r="F58" s="19">
        <v>261529.62498026001</v>
      </c>
      <c r="G58" s="19">
        <v>224532.462589384</v>
      </c>
      <c r="H58" s="19">
        <v>226845.709229033</v>
      </c>
      <c r="I58" s="20">
        <v>75.5</v>
      </c>
      <c r="J58" s="21">
        <v>39.453992081562397</v>
      </c>
      <c r="K58" s="21">
        <v>40.751402594794897</v>
      </c>
      <c r="L58" s="21">
        <v>37.281666974727798</v>
      </c>
      <c r="M58" s="21">
        <v>45.217263947514702</v>
      </c>
      <c r="N58" s="21">
        <v>63.330453320388401</v>
      </c>
      <c r="O58" s="21">
        <v>75.557462909354598</v>
      </c>
      <c r="P58" s="21">
        <v>45.687370297169203</v>
      </c>
      <c r="Q58" s="21">
        <v>74.489018228399004</v>
      </c>
      <c r="R58" s="21">
        <v>30.6914616137867</v>
      </c>
      <c r="S58" s="21">
        <v>73.239465526448299</v>
      </c>
      <c r="T58" s="22">
        <v>30.43</v>
      </c>
      <c r="U58" s="19">
        <v>344769.04059641698</v>
      </c>
      <c r="V58" s="19">
        <v>136077.73710826799</v>
      </c>
      <c r="W58" s="19">
        <v>125140.294686936</v>
      </c>
      <c r="X58" s="19">
        <v>100997.140269771</v>
      </c>
      <c r="Y58" s="21">
        <v>8.03764278695329</v>
      </c>
      <c r="Z58" s="19">
        <v>55618725.020796001</v>
      </c>
      <c r="AA58" s="22">
        <v>0.21628878366797</v>
      </c>
      <c r="AB58" s="22">
        <v>2.7550601623476201</v>
      </c>
      <c r="AC58" s="20">
        <v>12.737878107340901</v>
      </c>
      <c r="AD58" s="20">
        <v>28.659805118562002</v>
      </c>
      <c r="AE58" s="20">
        <v>1.11344819731926</v>
      </c>
      <c r="AF58" s="20">
        <v>1.1618450098756801</v>
      </c>
      <c r="AG58" s="20">
        <v>12.218649981</v>
      </c>
      <c r="AH58" s="20">
        <v>13.1305766666667</v>
      </c>
      <c r="AI58" s="21">
        <f t="shared" si="0"/>
        <v>0.91192668566669965</v>
      </c>
      <c r="AJ58" s="21">
        <v>590795</v>
      </c>
      <c r="AK58" s="21">
        <v>1503408</v>
      </c>
      <c r="AL58" s="21">
        <v>1569280</v>
      </c>
      <c r="AM58" s="20">
        <v>165.5103</v>
      </c>
      <c r="AN58" s="19">
        <v>5295818.9375860002</v>
      </c>
      <c r="AO58" s="21">
        <v>7719.7460000000001</v>
      </c>
      <c r="AP58" s="21">
        <v>100.1</v>
      </c>
      <c r="AQ58" s="21">
        <v>101.7</v>
      </c>
      <c r="AR58" s="22">
        <v>2.0899999999999998E-2</v>
      </c>
      <c r="AS58" s="22">
        <v>0.99967864990234401</v>
      </c>
      <c r="AT58" s="20">
        <v>75.900000000000006</v>
      </c>
      <c r="AU58" s="20">
        <v>-19.8</v>
      </c>
    </row>
    <row r="59" spans="1:47" ht="16" customHeight="1" x14ac:dyDescent="0.2">
      <c r="A59" s="18" t="s">
        <v>171</v>
      </c>
      <c r="B59" s="19">
        <v>1611454.6336868801</v>
      </c>
      <c r="C59" s="19">
        <v>890481.14773522597</v>
      </c>
      <c r="D59" s="19">
        <v>343330.20058790501</v>
      </c>
      <c r="E59" s="19">
        <v>326511.69915109599</v>
      </c>
      <c r="F59" s="19">
        <v>266391.236702881</v>
      </c>
      <c r="G59" s="19">
        <v>227370.80202922999</v>
      </c>
      <c r="H59" s="19">
        <v>239132.03834998401</v>
      </c>
      <c r="I59" s="20">
        <v>76.2</v>
      </c>
      <c r="J59" s="21">
        <v>40.238048442598497</v>
      </c>
      <c r="K59" s="21">
        <v>41.706384794786899</v>
      </c>
      <c r="L59" s="21">
        <v>37.826627981090297</v>
      </c>
      <c r="M59" s="21">
        <v>46.040949382653899</v>
      </c>
      <c r="N59" s="21">
        <v>65.077121498768804</v>
      </c>
      <c r="O59" s="21">
        <v>77.836445467178805</v>
      </c>
      <c r="P59" s="21">
        <v>46.475520685125701</v>
      </c>
      <c r="Q59" s="21">
        <v>72.954312320919399</v>
      </c>
      <c r="R59" s="21">
        <v>29.068739625170799</v>
      </c>
      <c r="S59" s="21">
        <v>75.427378674055106</v>
      </c>
      <c r="T59" s="22">
        <v>30.28</v>
      </c>
      <c r="U59" s="19">
        <v>350784.53871004801</v>
      </c>
      <c r="V59" s="19">
        <v>136313.44121282201</v>
      </c>
      <c r="W59" s="19">
        <v>125114.73682493799</v>
      </c>
      <c r="X59" s="19">
        <v>101060.637911639</v>
      </c>
      <c r="Y59" s="21">
        <v>8.2154072909062599</v>
      </c>
      <c r="Z59" s="19">
        <v>55488919.273864999</v>
      </c>
      <c r="AA59" s="22">
        <v>0.217681920034869</v>
      </c>
      <c r="AB59" s="22">
        <v>2.80370280601612</v>
      </c>
      <c r="AC59" s="20">
        <v>12.879814757086899</v>
      </c>
      <c r="AD59" s="20">
        <v>29.041016743064802</v>
      </c>
      <c r="AE59" s="20">
        <v>1.1019526252201799</v>
      </c>
      <c r="AF59" s="20">
        <v>1.18497452304775</v>
      </c>
      <c r="AG59" s="20">
        <v>12.169143466</v>
      </c>
      <c r="AH59" s="20">
        <v>13.086650000000001</v>
      </c>
      <c r="AI59" s="21">
        <f t="shared" si="0"/>
        <v>0.91750653400000104</v>
      </c>
      <c r="AJ59" s="21">
        <v>603201</v>
      </c>
      <c r="AK59" s="21">
        <v>1537092</v>
      </c>
      <c r="AL59" s="21">
        <v>1607971</v>
      </c>
      <c r="AM59" s="20">
        <v>165.75729999999999</v>
      </c>
      <c r="AN59" s="19">
        <v>5358795.9279566202</v>
      </c>
      <c r="AO59" s="21">
        <v>7880.7939999999999</v>
      </c>
      <c r="AP59" s="21">
        <v>101.1</v>
      </c>
      <c r="AQ59" s="21">
        <v>102.2</v>
      </c>
      <c r="AR59" s="22">
        <v>8.9999999999999993E-3</v>
      </c>
      <c r="AS59" s="22">
        <v>1.2412350718180301</v>
      </c>
      <c r="AT59" s="20">
        <v>82.7</v>
      </c>
      <c r="AU59" s="20">
        <v>-15.2</v>
      </c>
    </row>
    <row r="60" spans="1:47" ht="16" customHeight="1" x14ac:dyDescent="0.2">
      <c r="A60" s="18" t="s">
        <v>172</v>
      </c>
      <c r="B60" s="19">
        <v>1625299.47829416</v>
      </c>
      <c r="C60" s="19">
        <v>898440.09084350697</v>
      </c>
      <c r="D60" s="19">
        <v>344289.59352956503</v>
      </c>
      <c r="E60" s="19">
        <v>328688.89010796702</v>
      </c>
      <c r="F60" s="19">
        <v>280559.74679239403</v>
      </c>
      <c r="G60" s="19">
        <v>233277.23525107899</v>
      </c>
      <c r="H60" s="19">
        <v>247263.827168519</v>
      </c>
      <c r="I60" s="20">
        <v>77</v>
      </c>
      <c r="J60" s="21">
        <v>40.947485033684401</v>
      </c>
      <c r="K60" s="21">
        <v>42.386301512574803</v>
      </c>
      <c r="L60" s="21">
        <v>38.3817679603725</v>
      </c>
      <c r="M60" s="21">
        <v>46.486441260880397</v>
      </c>
      <c r="N60" s="21">
        <v>66.360580248086606</v>
      </c>
      <c r="O60" s="21">
        <v>79.743713930365004</v>
      </c>
      <c r="P60" s="21">
        <v>47.308976460958</v>
      </c>
      <c r="Q60" s="21">
        <v>74.411448678078898</v>
      </c>
      <c r="R60" s="21">
        <v>29.6839315169637</v>
      </c>
      <c r="S60" s="21">
        <v>76.799459800071901</v>
      </c>
      <c r="T60" s="22">
        <v>30.33</v>
      </c>
      <c r="U60" s="19">
        <v>358291.98667572398</v>
      </c>
      <c r="V60" s="19">
        <v>136486.23580559299</v>
      </c>
      <c r="W60" s="19">
        <v>124932.58109903699</v>
      </c>
      <c r="X60" s="19">
        <v>100918.97614333199</v>
      </c>
      <c r="Y60" s="21">
        <v>8.4650694909725406</v>
      </c>
      <c r="Z60" s="19">
        <v>55271527.982941501</v>
      </c>
      <c r="AA60" s="22">
        <v>0.22044674932878899</v>
      </c>
      <c r="AB60" s="22">
        <v>2.8678826893978799</v>
      </c>
      <c r="AC60" s="20">
        <v>13.0094124686798</v>
      </c>
      <c r="AD60" s="20">
        <v>29.4057272814273</v>
      </c>
      <c r="AE60" s="20">
        <v>1.09644672852022</v>
      </c>
      <c r="AF60" s="20">
        <v>1.20235661897319</v>
      </c>
      <c r="AG60" s="20">
        <v>11.431690392</v>
      </c>
      <c r="AH60" s="20">
        <v>12.6076766666667</v>
      </c>
      <c r="AI60" s="21">
        <f t="shared" si="0"/>
        <v>1.1759862746667</v>
      </c>
      <c r="AJ60" s="21">
        <v>610604</v>
      </c>
      <c r="AK60" s="21">
        <v>1559014</v>
      </c>
      <c r="AL60" s="21">
        <v>1633342</v>
      </c>
      <c r="AM60" s="20">
        <v>160.31440000000001</v>
      </c>
      <c r="AN60" s="19">
        <v>5420198.5757820103</v>
      </c>
      <c r="AO60" s="21">
        <v>8034.8469999999998</v>
      </c>
      <c r="AP60" s="21">
        <v>102.533</v>
      </c>
      <c r="AQ60" s="21">
        <v>103.333</v>
      </c>
      <c r="AR60" s="22">
        <v>2.6200000000000001E-2</v>
      </c>
      <c r="AS60" s="22">
        <v>0.90488052368164096</v>
      </c>
      <c r="AT60" s="20">
        <v>86.8</v>
      </c>
      <c r="AU60" s="20">
        <v>-10.6</v>
      </c>
    </row>
    <row r="61" spans="1:47" ht="16" customHeight="1" x14ac:dyDescent="0.2">
      <c r="A61" s="18" t="s">
        <v>173</v>
      </c>
      <c r="B61" s="19">
        <v>1617619.17945498</v>
      </c>
      <c r="C61" s="19">
        <v>895473.04637589003</v>
      </c>
      <c r="D61" s="19">
        <v>346321.70075011603</v>
      </c>
      <c r="E61" s="19">
        <v>320936.640219956</v>
      </c>
      <c r="F61" s="19">
        <v>276013.78037036298</v>
      </c>
      <c r="G61" s="19">
        <v>233346.12553434199</v>
      </c>
      <c r="H61" s="19">
        <v>251689.002471221</v>
      </c>
      <c r="I61" s="20">
        <v>77.900000000000006</v>
      </c>
      <c r="J61" s="21">
        <v>41.551099066097898</v>
      </c>
      <c r="K61" s="21">
        <v>43.0418514029178</v>
      </c>
      <c r="L61" s="21">
        <v>38.929884303820899</v>
      </c>
      <c r="M61" s="21">
        <v>47.146741507994598</v>
      </c>
      <c r="N61" s="21">
        <v>66.876567133896799</v>
      </c>
      <c r="O61" s="21">
        <v>80.003346216371497</v>
      </c>
      <c r="P61" s="21">
        <v>47.937613802410503</v>
      </c>
      <c r="Q61" s="21">
        <v>74.103031627168505</v>
      </c>
      <c r="R61" s="21">
        <v>29.507663627747199</v>
      </c>
      <c r="S61" s="21">
        <v>76.688209979021195</v>
      </c>
      <c r="T61" s="22">
        <v>30.48</v>
      </c>
      <c r="U61" s="19">
        <v>359275.69014944899</v>
      </c>
      <c r="V61" s="19">
        <v>136550.79591432799</v>
      </c>
      <c r="W61" s="19">
        <v>124819.925234756</v>
      </c>
      <c r="X61" s="19">
        <v>100932.294188753</v>
      </c>
      <c r="Y61" s="21">
        <v>8.5908475311503096</v>
      </c>
      <c r="Z61" s="19">
        <v>55075662.9508145</v>
      </c>
      <c r="AA61" s="22">
        <v>0.22210152717804599</v>
      </c>
      <c r="AB61" s="22">
        <v>2.8783520697816298</v>
      </c>
      <c r="AC61" s="20">
        <v>12.959623044258599</v>
      </c>
      <c r="AD61" s="20">
        <v>29.370852619597201</v>
      </c>
      <c r="AE61" s="20">
        <v>1.1036137718485799</v>
      </c>
      <c r="AF61" s="20">
        <v>1.21241513094083</v>
      </c>
      <c r="AG61" s="20">
        <v>10.857933396</v>
      </c>
      <c r="AH61" s="20">
        <v>12.5059066666667</v>
      </c>
      <c r="AI61" s="21">
        <f t="shared" si="0"/>
        <v>1.6479732706667001</v>
      </c>
      <c r="AJ61" s="21">
        <v>620180</v>
      </c>
      <c r="AK61" s="21">
        <v>1591965</v>
      </c>
      <c r="AL61" s="21">
        <v>1668177</v>
      </c>
      <c r="AM61" s="20">
        <v>155.6942</v>
      </c>
      <c r="AN61" s="19">
        <v>5447255.9057839699</v>
      </c>
      <c r="AO61" s="21">
        <v>8173.67</v>
      </c>
      <c r="AP61" s="21">
        <v>103.5</v>
      </c>
      <c r="AQ61" s="21">
        <v>104.033</v>
      </c>
      <c r="AR61" s="22">
        <v>1.3599999999999999E-2</v>
      </c>
      <c r="AS61" s="22">
        <v>0.92745193481445298</v>
      </c>
      <c r="AT61" s="20">
        <v>89.9</v>
      </c>
      <c r="AU61" s="20">
        <v>-8.1999999999999993</v>
      </c>
    </row>
    <row r="62" spans="1:47" ht="16" customHeight="1" x14ac:dyDescent="0.2">
      <c r="A62" s="18" t="s">
        <v>174</v>
      </c>
      <c r="B62" s="19">
        <v>1634296.7717665001</v>
      </c>
      <c r="C62" s="19">
        <v>897205.67853424</v>
      </c>
      <c r="D62" s="19">
        <v>347849.51517551398</v>
      </c>
      <c r="E62" s="19">
        <v>325269.85136679799</v>
      </c>
      <c r="F62" s="19">
        <v>284870.69269418</v>
      </c>
      <c r="G62" s="19">
        <v>237488.35375961399</v>
      </c>
      <c r="H62" s="19">
        <v>260462.44009638601</v>
      </c>
      <c r="I62" s="20">
        <v>75.599999999999994</v>
      </c>
      <c r="J62" s="21">
        <v>42.218504963354299</v>
      </c>
      <c r="K62" s="21">
        <v>43.728516847994598</v>
      </c>
      <c r="L62" s="21">
        <v>39.686993112424197</v>
      </c>
      <c r="M62" s="21">
        <v>47.869880557967299</v>
      </c>
      <c r="N62" s="21">
        <v>68.198777369876694</v>
      </c>
      <c r="O62" s="21">
        <v>82.071182359101201</v>
      </c>
      <c r="P62" s="21">
        <v>48.424677675799501</v>
      </c>
      <c r="Q62" s="21">
        <v>68.640181383261506</v>
      </c>
      <c r="R62" s="21">
        <v>28.014623730801699</v>
      </c>
      <c r="S62" s="21">
        <v>68.455723221266496</v>
      </c>
      <c r="T62" s="22">
        <v>30.75</v>
      </c>
      <c r="U62" s="19">
        <v>366908.37701859901</v>
      </c>
      <c r="V62" s="19">
        <v>136841.20194427</v>
      </c>
      <c r="W62" s="19">
        <v>124983.456498602</v>
      </c>
      <c r="X62" s="19">
        <v>101099.745979037</v>
      </c>
      <c r="Y62" s="21">
        <v>8.6653327193788794</v>
      </c>
      <c r="Z62" s="19">
        <v>55000231.7297052</v>
      </c>
      <c r="AA62" s="22">
        <v>0.22450535505984701</v>
      </c>
      <c r="AB62" s="22">
        <v>2.9356555443215999</v>
      </c>
      <c r="AC62" s="20">
        <v>13.0761047705924</v>
      </c>
      <c r="AD62" s="20">
        <v>29.714361564840999</v>
      </c>
      <c r="AE62" s="20">
        <v>1.0781789925685801</v>
      </c>
      <c r="AF62" s="20">
        <v>1.3010668748373699</v>
      </c>
      <c r="AG62" s="20">
        <v>10.413572545999999</v>
      </c>
      <c r="AH62" s="20">
        <v>12.209146666666699</v>
      </c>
      <c r="AI62" s="21">
        <f t="shared" si="0"/>
        <v>1.7955741206667</v>
      </c>
      <c r="AJ62" s="21">
        <v>633449</v>
      </c>
      <c r="AK62" s="21">
        <v>1631220</v>
      </c>
      <c r="AL62" s="21">
        <v>1711302</v>
      </c>
      <c r="AM62" s="20">
        <v>160.5864</v>
      </c>
      <c r="AN62" s="19">
        <v>5494117.2487080097</v>
      </c>
      <c r="AO62" s="21">
        <v>8252.4650000000001</v>
      </c>
      <c r="AP62" s="21">
        <v>104.4</v>
      </c>
      <c r="AQ62" s="21">
        <v>103.8</v>
      </c>
      <c r="AR62" s="22">
        <v>1.4999999999999999E-2</v>
      </c>
      <c r="AS62" s="22">
        <v>0.76613059997558597</v>
      </c>
      <c r="AT62" s="20">
        <v>90.6</v>
      </c>
      <c r="AU62" s="20">
        <v>-7.5</v>
      </c>
    </row>
    <row r="63" spans="1:47" ht="16" customHeight="1" x14ac:dyDescent="0.2">
      <c r="A63" s="18" t="s">
        <v>175</v>
      </c>
      <c r="B63" s="19">
        <v>1642660.42031246</v>
      </c>
      <c r="C63" s="19">
        <v>898734.79139825096</v>
      </c>
      <c r="D63" s="19">
        <v>350911.84432452102</v>
      </c>
      <c r="E63" s="19">
        <v>328008.37021664297</v>
      </c>
      <c r="F63" s="19">
        <v>289077.38691554603</v>
      </c>
      <c r="G63" s="19">
        <v>239171.19224362599</v>
      </c>
      <c r="H63" s="19">
        <v>262763.83059477998</v>
      </c>
      <c r="I63" s="20">
        <v>79</v>
      </c>
      <c r="J63" s="21">
        <v>42.6389739073161</v>
      </c>
      <c r="K63" s="21">
        <v>44.373691057058103</v>
      </c>
      <c r="L63" s="21">
        <v>40.098831854294502</v>
      </c>
      <c r="M63" s="21">
        <v>48.600051287042298</v>
      </c>
      <c r="N63" s="21">
        <v>69.214696878291903</v>
      </c>
      <c r="O63" s="21">
        <v>83.026777525613298</v>
      </c>
      <c r="P63" s="21">
        <v>49.0421484063598</v>
      </c>
      <c r="Q63" s="21">
        <v>66.833776779257406</v>
      </c>
      <c r="R63" s="21">
        <v>27.4859198186074</v>
      </c>
      <c r="S63" s="21">
        <v>65.8969773370995</v>
      </c>
      <c r="T63" s="22">
        <v>30.66</v>
      </c>
      <c r="U63" s="19">
        <v>373482.110496387</v>
      </c>
      <c r="V63" s="19">
        <v>136972.03931117401</v>
      </c>
      <c r="W63" s="19">
        <v>124956.70166466699</v>
      </c>
      <c r="X63" s="19">
        <v>101183.779920969</v>
      </c>
      <c r="Y63" s="21">
        <v>8.7721097728647397</v>
      </c>
      <c r="Z63" s="19">
        <v>54848340.660355203</v>
      </c>
      <c r="AA63" s="22">
        <v>0.22736416235398499</v>
      </c>
      <c r="AB63" s="22">
        <v>2.9888921964238699</v>
      </c>
      <c r="AC63" s="20">
        <v>13.1458369053362</v>
      </c>
      <c r="AD63" s="20">
        <v>29.949136118529701</v>
      </c>
      <c r="AE63" s="20">
        <v>1.0616171786077899</v>
      </c>
      <c r="AF63" s="20">
        <v>1.36593361562628</v>
      </c>
      <c r="AG63" s="20">
        <v>10.128110652</v>
      </c>
      <c r="AH63" s="20">
        <v>11.4183</v>
      </c>
      <c r="AI63" s="21">
        <f t="shared" si="0"/>
        <v>1.2901893480000002</v>
      </c>
      <c r="AJ63" s="21">
        <v>649438</v>
      </c>
      <c r="AK63" s="21">
        <v>1661882</v>
      </c>
      <c r="AL63" s="21">
        <v>1742791</v>
      </c>
      <c r="AM63" s="20">
        <v>165.20009999999999</v>
      </c>
      <c r="AN63" s="19">
        <v>5544770.2629647898</v>
      </c>
      <c r="AO63" s="21">
        <v>8320.1990000000005</v>
      </c>
      <c r="AP63" s="21">
        <v>105.3</v>
      </c>
      <c r="AQ63" s="21">
        <v>103.533</v>
      </c>
      <c r="AR63" s="22">
        <v>1.14E-2</v>
      </c>
      <c r="AS63" s="22">
        <v>0.93711156209309898</v>
      </c>
      <c r="AT63" s="20">
        <v>89.4</v>
      </c>
      <c r="AU63" s="20">
        <v>-7.7</v>
      </c>
    </row>
    <row r="64" spans="1:47" ht="16" customHeight="1" x14ac:dyDescent="0.2">
      <c r="A64" s="18" t="s">
        <v>176</v>
      </c>
      <c r="B64" s="19">
        <v>1646351.6188125701</v>
      </c>
      <c r="C64" s="19">
        <v>906595.65481674497</v>
      </c>
      <c r="D64" s="19">
        <v>352899.45471038099</v>
      </c>
      <c r="E64" s="19">
        <v>324241.60480086697</v>
      </c>
      <c r="F64" s="19">
        <v>293689.15751992801</v>
      </c>
      <c r="G64" s="19">
        <v>244604.97405696899</v>
      </c>
      <c r="H64" s="19">
        <v>267034.44359849201</v>
      </c>
      <c r="I64" s="20">
        <v>78.5</v>
      </c>
      <c r="J64" s="21">
        <v>43.351139262458801</v>
      </c>
      <c r="K64" s="21">
        <v>45.116416602725799</v>
      </c>
      <c r="L64" s="21">
        <v>40.8647368147275</v>
      </c>
      <c r="M64" s="21">
        <v>49.177767267592202</v>
      </c>
      <c r="N64" s="21">
        <v>71.075448639181801</v>
      </c>
      <c r="O64" s="21">
        <v>86.009524214308499</v>
      </c>
      <c r="P64" s="21">
        <v>49.862985357454797</v>
      </c>
      <c r="Q64" s="21">
        <v>66.272842741135193</v>
      </c>
      <c r="R64" s="21">
        <v>27.708773505370001</v>
      </c>
      <c r="S64" s="21">
        <v>63.746147462900502</v>
      </c>
      <c r="T64" s="22">
        <v>30.83</v>
      </c>
      <c r="U64" s="19">
        <v>381091.94450812502</v>
      </c>
      <c r="V64" s="19">
        <v>137065.06821158499</v>
      </c>
      <c r="W64" s="19">
        <v>124989.721353457</v>
      </c>
      <c r="X64" s="19">
        <v>101383.88772291801</v>
      </c>
      <c r="Y64" s="21">
        <v>8.8099375104733308</v>
      </c>
      <c r="Z64" s="19">
        <v>54742345.222217999</v>
      </c>
      <c r="AA64" s="22">
        <v>0.23147664214221</v>
      </c>
      <c r="AB64" s="22">
        <v>3.0489862716826099</v>
      </c>
      <c r="AC64" s="20">
        <v>13.1718960646122</v>
      </c>
      <c r="AD64" s="20">
        <v>30.074554024484399</v>
      </c>
      <c r="AE64" s="20">
        <v>1.0501337318674</v>
      </c>
      <c r="AF64" s="20">
        <v>1.4609203798393</v>
      </c>
      <c r="AG64" s="20">
        <v>9.8634286150000001</v>
      </c>
      <c r="AH64" s="20">
        <v>10.947419999999999</v>
      </c>
      <c r="AI64" s="21">
        <f t="shared" si="0"/>
        <v>1.0839913849999991</v>
      </c>
      <c r="AJ64" s="21">
        <v>662471</v>
      </c>
      <c r="AK64" s="21">
        <v>1700138</v>
      </c>
      <c r="AL64" s="21">
        <v>1788333</v>
      </c>
      <c r="AM64" s="20">
        <v>177.2544</v>
      </c>
      <c r="AN64" s="19">
        <v>5616458.0373521596</v>
      </c>
      <c r="AO64" s="21">
        <v>8400.82</v>
      </c>
      <c r="AP64" s="21">
        <v>106.267</v>
      </c>
      <c r="AQ64" s="21">
        <v>103.267</v>
      </c>
      <c r="AR64" s="22">
        <v>3.5999999999999997E-2</v>
      </c>
      <c r="AS64" s="22">
        <v>0.96842648824055899</v>
      </c>
      <c r="AT64" s="20">
        <v>93.2</v>
      </c>
      <c r="AU64" s="20">
        <v>-5.9</v>
      </c>
    </row>
    <row r="65" spans="1:47" ht="16" customHeight="1" x14ac:dyDescent="0.2">
      <c r="A65" s="18" t="s">
        <v>177</v>
      </c>
      <c r="B65" s="19">
        <v>1662060.9274170301</v>
      </c>
      <c r="C65" s="19">
        <v>912654.21578436403</v>
      </c>
      <c r="D65" s="19">
        <v>355077.65880270599</v>
      </c>
      <c r="E65" s="19">
        <v>329469.08020891302</v>
      </c>
      <c r="F65" s="19">
        <v>292155.30683122098</v>
      </c>
      <c r="G65" s="19">
        <v>243785.55373342001</v>
      </c>
      <c r="H65" s="19">
        <v>276807.07588675403</v>
      </c>
      <c r="I65" s="20">
        <v>79.400000000000006</v>
      </c>
      <c r="J65" s="21">
        <v>43.929187040110797</v>
      </c>
      <c r="K65" s="21">
        <v>45.671423706324198</v>
      </c>
      <c r="L65" s="21">
        <v>41.319612693745498</v>
      </c>
      <c r="M65" s="21">
        <v>49.803100194386701</v>
      </c>
      <c r="N65" s="21">
        <v>71.386849606443107</v>
      </c>
      <c r="O65" s="21">
        <v>85.4511883056865</v>
      </c>
      <c r="P65" s="21">
        <v>50.535071728305603</v>
      </c>
      <c r="Q65" s="21">
        <v>65.152547422849494</v>
      </c>
      <c r="R65" s="21">
        <v>26.9638995219069</v>
      </c>
      <c r="S65" s="21">
        <v>63.634897641849797</v>
      </c>
      <c r="T65" s="22">
        <v>31.01</v>
      </c>
      <c r="U65" s="19">
        <v>387104.98510525201</v>
      </c>
      <c r="V65" s="19">
        <v>137256.729431171</v>
      </c>
      <c r="W65" s="19">
        <v>125140.995762427</v>
      </c>
      <c r="X65" s="19">
        <v>101540.494952056</v>
      </c>
      <c r="Y65" s="21">
        <v>8.8270598599826293</v>
      </c>
      <c r="Z65" s="19">
        <v>54716831.676574603</v>
      </c>
      <c r="AA65" s="22">
        <v>0.232906615347034</v>
      </c>
      <c r="AB65" s="22">
        <v>3.0933506861344502</v>
      </c>
      <c r="AC65" s="20">
        <v>13.2815063304463</v>
      </c>
      <c r="AD65" s="20">
        <v>30.375679228675001</v>
      </c>
      <c r="AE65" s="20">
        <v>1.0529734693439601</v>
      </c>
      <c r="AF65" s="20">
        <v>1.37741046831956</v>
      </c>
      <c r="AG65" s="20">
        <v>9.9615893779999993</v>
      </c>
      <c r="AH65" s="20">
        <v>10.844096666666699</v>
      </c>
      <c r="AI65" s="21">
        <f t="shared" si="0"/>
        <v>0.88250728866669981</v>
      </c>
      <c r="AJ65" s="21">
        <v>667103</v>
      </c>
      <c r="AK65" s="21">
        <v>1722006</v>
      </c>
      <c r="AL65" s="21">
        <v>1812216</v>
      </c>
      <c r="AM65" s="20">
        <v>184.8263</v>
      </c>
      <c r="AN65" s="19">
        <v>5678828.3927962901</v>
      </c>
      <c r="AO65" s="21">
        <v>8474.7870000000003</v>
      </c>
      <c r="AP65" s="21">
        <v>107.233</v>
      </c>
      <c r="AQ65" s="21">
        <v>103.367</v>
      </c>
      <c r="AR65" s="22">
        <v>1.8200000000000001E-2</v>
      </c>
      <c r="AS65" s="22">
        <v>0.973905054728189</v>
      </c>
      <c r="AT65" s="20">
        <v>90.8</v>
      </c>
      <c r="AU65" s="20">
        <v>-8.8000000000000007</v>
      </c>
    </row>
    <row r="66" spans="1:47" ht="16" customHeight="1" x14ac:dyDescent="0.2">
      <c r="A66" s="18" t="s">
        <v>178</v>
      </c>
      <c r="B66" s="19">
        <v>1676130.5570008301</v>
      </c>
      <c r="C66" s="19">
        <v>921163.39177894394</v>
      </c>
      <c r="D66" s="19">
        <v>357574.78790354298</v>
      </c>
      <c r="E66" s="19">
        <v>336308.377463563</v>
      </c>
      <c r="F66" s="19">
        <v>295571.80210486398</v>
      </c>
      <c r="G66" s="19">
        <v>249387.41663109499</v>
      </c>
      <c r="H66" s="19">
        <v>285091.75346713403</v>
      </c>
      <c r="I66" s="20">
        <v>79.900000000000006</v>
      </c>
      <c r="J66" s="21">
        <v>44.6187539821778</v>
      </c>
      <c r="K66" s="21">
        <v>46.198211325365399</v>
      </c>
      <c r="L66" s="21">
        <v>41.824729044030299</v>
      </c>
      <c r="M66" s="21">
        <v>50.3164226447986</v>
      </c>
      <c r="N66" s="21">
        <v>71.483738659442693</v>
      </c>
      <c r="O66" s="21">
        <v>83.660481612749095</v>
      </c>
      <c r="P66" s="21">
        <v>50.7883895694765</v>
      </c>
      <c r="Q66" s="21">
        <v>63.782380959073798</v>
      </c>
      <c r="R66" s="21">
        <v>27.223263705247501</v>
      </c>
      <c r="S66" s="21">
        <v>59.481570989564503</v>
      </c>
      <c r="T66" s="22">
        <v>31.45</v>
      </c>
      <c r="U66" s="19">
        <v>395670.28531691898</v>
      </c>
      <c r="V66" s="19">
        <v>137550.584186336</v>
      </c>
      <c r="W66" s="19">
        <v>125364.128946635</v>
      </c>
      <c r="X66" s="19">
        <v>101822.32713621001</v>
      </c>
      <c r="Y66" s="21">
        <v>8.8596172177595403</v>
      </c>
      <c r="Z66" s="19">
        <v>54742755.5844201</v>
      </c>
      <c r="AA66" s="22">
        <v>0.23606173377383499</v>
      </c>
      <c r="AB66" s="22">
        <v>3.1561682647302498</v>
      </c>
      <c r="AC66" s="20">
        <v>13.370096941481</v>
      </c>
      <c r="AD66" s="20">
        <v>30.6183081050062</v>
      </c>
      <c r="AE66" s="20">
        <v>1.0738804731026399</v>
      </c>
      <c r="AF66" s="20">
        <v>1.2743723716069799</v>
      </c>
      <c r="AG66" s="20">
        <v>9.3468044579999994</v>
      </c>
      <c r="AH66" s="20">
        <v>10.6689566666667</v>
      </c>
      <c r="AI66" s="21">
        <f t="shared" si="0"/>
        <v>1.3221522086667008</v>
      </c>
      <c r="AJ66" s="21">
        <v>681849</v>
      </c>
      <c r="AK66" s="21">
        <v>1746936</v>
      </c>
      <c r="AL66" s="21">
        <v>1840516</v>
      </c>
      <c r="AM66" s="20">
        <v>188.3605</v>
      </c>
      <c r="AN66" s="19">
        <v>5715010.9652507501</v>
      </c>
      <c r="AO66" s="21">
        <v>8604.2199999999993</v>
      </c>
      <c r="AP66" s="21">
        <v>107.9</v>
      </c>
      <c r="AQ66" s="21">
        <v>102.667</v>
      </c>
      <c r="AR66" s="22">
        <v>1.7100000000000001E-2</v>
      </c>
      <c r="AS66" s="22">
        <v>0.88121780395507698</v>
      </c>
      <c r="AT66" s="20">
        <v>92</v>
      </c>
      <c r="AU66" s="20">
        <v>-8.1</v>
      </c>
    </row>
    <row r="67" spans="1:47" ht="16" customHeight="1" x14ac:dyDescent="0.2">
      <c r="A67" s="18" t="s">
        <v>179</v>
      </c>
      <c r="B67" s="19">
        <v>1686123.4263640901</v>
      </c>
      <c r="C67" s="19">
        <v>927949.01650788996</v>
      </c>
      <c r="D67" s="19">
        <v>360811.29040519497</v>
      </c>
      <c r="E67" s="19">
        <v>340311.62796160101</v>
      </c>
      <c r="F67" s="19">
        <v>295990.25789026002</v>
      </c>
      <c r="G67" s="19">
        <v>250114.73601349001</v>
      </c>
      <c r="H67" s="19">
        <v>292756.63335949101</v>
      </c>
      <c r="I67" s="20">
        <v>80.099999999999994</v>
      </c>
      <c r="J67" s="21">
        <v>45.265572795945097</v>
      </c>
      <c r="K67" s="21">
        <v>46.759940846882799</v>
      </c>
      <c r="L67" s="21">
        <v>42.314534466557603</v>
      </c>
      <c r="M67" s="21">
        <v>51.055869836260698</v>
      </c>
      <c r="N67" s="21">
        <v>71.151643349961603</v>
      </c>
      <c r="O67" s="21">
        <v>82.208767987820906</v>
      </c>
      <c r="P67" s="21">
        <v>51.210371328714601</v>
      </c>
      <c r="Q67" s="21">
        <v>66.377447233372294</v>
      </c>
      <c r="R67" s="21">
        <v>28.277379599616701</v>
      </c>
      <c r="S67" s="21">
        <v>62.0774001471395</v>
      </c>
      <c r="T67" s="22">
        <v>31.59</v>
      </c>
      <c r="U67" s="19">
        <v>402634.70095914701</v>
      </c>
      <c r="V67" s="19">
        <v>137950.64670582401</v>
      </c>
      <c r="W67" s="19">
        <v>125704.88642849</v>
      </c>
      <c r="X67" s="19">
        <v>102181.254378493</v>
      </c>
      <c r="Y67" s="21">
        <v>8.8769140049395201</v>
      </c>
      <c r="Z67" s="19">
        <v>54832295.175093397</v>
      </c>
      <c r="AA67" s="22">
        <v>0.238793136174721</v>
      </c>
      <c r="AB67" s="22">
        <v>3.2030155103651801</v>
      </c>
      <c r="AC67" s="20">
        <v>13.413348313418799</v>
      </c>
      <c r="AD67" s="20">
        <v>30.750553500995501</v>
      </c>
      <c r="AE67" s="20">
        <v>1.11270255457311</v>
      </c>
      <c r="AF67" s="20">
        <v>1.1724703951225199</v>
      </c>
      <c r="AG67" s="20">
        <v>8.6279720340000008</v>
      </c>
      <c r="AH67" s="20">
        <v>10.290369999999999</v>
      </c>
      <c r="AI67" s="21">
        <f t="shared" si="0"/>
        <v>1.6623979659999986</v>
      </c>
      <c r="AJ67" s="21">
        <v>698795</v>
      </c>
      <c r="AK67" s="21">
        <v>1784034</v>
      </c>
      <c r="AL67" s="21">
        <v>1882118</v>
      </c>
      <c r="AM67" s="20">
        <v>197.03270000000001</v>
      </c>
      <c r="AN67" s="19">
        <v>5770691.3580924999</v>
      </c>
      <c r="AO67" s="21">
        <v>8668.1880000000001</v>
      </c>
      <c r="AP67" s="21">
        <v>109</v>
      </c>
      <c r="AQ67" s="21">
        <v>103.3</v>
      </c>
      <c r="AR67" s="22">
        <v>5.7500000000000002E-2</v>
      </c>
      <c r="AS67" s="22">
        <v>0.86779037475585896</v>
      </c>
      <c r="AT67" s="20">
        <v>96.3</v>
      </c>
      <c r="AU67" s="20">
        <v>-5.8</v>
      </c>
    </row>
    <row r="68" spans="1:47" ht="16" customHeight="1" x14ac:dyDescent="0.2">
      <c r="A68" s="18" t="s">
        <v>180</v>
      </c>
      <c r="B68" s="19">
        <v>1680371.27102961</v>
      </c>
      <c r="C68" s="19">
        <v>931141.86170970404</v>
      </c>
      <c r="D68" s="19">
        <v>361989.29391094501</v>
      </c>
      <c r="E68" s="19">
        <v>337007.63357572502</v>
      </c>
      <c r="F68" s="19">
        <v>291401.49822789902</v>
      </c>
      <c r="G68" s="19">
        <v>251034.903971747</v>
      </c>
      <c r="H68" s="19">
        <v>294882.41310737398</v>
      </c>
      <c r="I68" s="20">
        <v>80.400000000000006</v>
      </c>
      <c r="J68" s="21">
        <v>46.098710423451799</v>
      </c>
      <c r="K68" s="21">
        <v>47.1544594343424</v>
      </c>
      <c r="L68" s="21">
        <v>42.837691193580497</v>
      </c>
      <c r="M68" s="21">
        <v>51.308899617222401</v>
      </c>
      <c r="N68" s="21">
        <v>70.1437168182715</v>
      </c>
      <c r="O68" s="21">
        <v>78.497122080068195</v>
      </c>
      <c r="P68" s="21">
        <v>51.615763263984398</v>
      </c>
      <c r="Q68" s="21">
        <v>51.2881669372847</v>
      </c>
      <c r="R68" s="21">
        <v>17.7398118523096</v>
      </c>
      <c r="S68" s="21">
        <v>65.563227873947199</v>
      </c>
      <c r="T68" s="22">
        <v>31.69</v>
      </c>
      <c r="U68" s="19">
        <v>409330.90426495898</v>
      </c>
      <c r="V68" s="19">
        <v>138346.596091632</v>
      </c>
      <c r="W68" s="19">
        <v>126052.72804790799</v>
      </c>
      <c r="X68" s="19">
        <v>102567.30036673701</v>
      </c>
      <c r="Y68" s="21">
        <v>8.8862815501302208</v>
      </c>
      <c r="Z68" s="19">
        <v>54929461.088140398</v>
      </c>
      <c r="AA68" s="22">
        <v>0.243595514468745</v>
      </c>
      <c r="AB68" s="22">
        <v>3.2472990517856002</v>
      </c>
      <c r="AC68" s="20">
        <v>13.3307013426236</v>
      </c>
      <c r="AD68" s="20">
        <v>30.591439233916201</v>
      </c>
      <c r="AE68" s="20">
        <v>1.1725635538225601</v>
      </c>
      <c r="AF68" s="20">
        <v>1.0835410120273099</v>
      </c>
      <c r="AG68" s="20">
        <v>8.7486201890000004</v>
      </c>
      <c r="AH68" s="20">
        <v>9.7663453333333301</v>
      </c>
      <c r="AI68" s="21">
        <f t="shared" ref="AI68:AI131" si="1">AH68-AG68</f>
        <v>1.0177251443333297</v>
      </c>
      <c r="AJ68" s="21">
        <v>724787</v>
      </c>
      <c r="AK68" s="21">
        <v>1818276</v>
      </c>
      <c r="AL68" s="21">
        <v>1919041</v>
      </c>
      <c r="AM68" s="20">
        <v>220.1189</v>
      </c>
      <c r="AN68" s="19">
        <v>5817632.3275755802</v>
      </c>
      <c r="AO68" s="21">
        <v>8749.1270000000004</v>
      </c>
      <c r="AP68" s="21">
        <v>109.56699999999999</v>
      </c>
      <c r="AQ68" s="21">
        <v>101.733</v>
      </c>
      <c r="AR68" s="22">
        <v>0.1303</v>
      </c>
      <c r="AS68" s="22">
        <v>0.90836835225423296</v>
      </c>
      <c r="AT68" s="20">
        <v>97.4</v>
      </c>
      <c r="AU68" s="20">
        <v>-7.3</v>
      </c>
    </row>
    <row r="69" spans="1:47" ht="16" customHeight="1" x14ac:dyDescent="0.2">
      <c r="A69" s="18" t="s">
        <v>181</v>
      </c>
      <c r="B69" s="19">
        <v>1711181.3807339401</v>
      </c>
      <c r="C69" s="19">
        <v>947965.40036148205</v>
      </c>
      <c r="D69" s="19">
        <v>365132.374409032</v>
      </c>
      <c r="E69" s="19">
        <v>345929.973670771</v>
      </c>
      <c r="F69" s="19">
        <v>296556.84486047202</v>
      </c>
      <c r="G69" s="19">
        <v>260496.52790799699</v>
      </c>
      <c r="H69" s="19">
        <v>310148.66050817701</v>
      </c>
      <c r="I69" s="20">
        <v>80.900000000000006</v>
      </c>
      <c r="J69" s="21">
        <v>46.728306576688098</v>
      </c>
      <c r="K69" s="21">
        <v>47.433415372133503</v>
      </c>
      <c r="L69" s="21">
        <v>43.185315276157297</v>
      </c>
      <c r="M69" s="21">
        <v>51.812481155249898</v>
      </c>
      <c r="N69" s="21">
        <v>69.257792734634506</v>
      </c>
      <c r="O69" s="21">
        <v>74.561581490287196</v>
      </c>
      <c r="P69" s="21">
        <v>51.818958008209499</v>
      </c>
      <c r="Q69" s="21">
        <v>41.527706720162598</v>
      </c>
      <c r="R69" s="21">
        <v>12.77867380228</v>
      </c>
      <c r="S69" s="21">
        <v>63.2640649052897</v>
      </c>
      <c r="T69" s="22">
        <v>32.159999999999997</v>
      </c>
      <c r="U69" s="19">
        <v>416548.53899653099</v>
      </c>
      <c r="V69" s="19">
        <v>138713.958567781</v>
      </c>
      <c r="W69" s="19">
        <v>126341.003778969</v>
      </c>
      <c r="X69" s="19">
        <v>102927.201342054</v>
      </c>
      <c r="Y69" s="21">
        <v>8.9197618729668093</v>
      </c>
      <c r="Z69" s="19">
        <v>55000559.322940499</v>
      </c>
      <c r="AA69" s="22">
        <v>0.24342746110168101</v>
      </c>
      <c r="AB69" s="22">
        <v>3.2970178052825498</v>
      </c>
      <c r="AC69" s="20">
        <v>13.5441490058732</v>
      </c>
      <c r="AD69" s="20">
        <v>31.112072346148199</v>
      </c>
      <c r="AE69" s="20">
        <v>1.17641517061345</v>
      </c>
      <c r="AF69" s="20">
        <v>1.04297037964122</v>
      </c>
      <c r="AG69" s="20">
        <v>8.0283936950000001</v>
      </c>
      <c r="AH69" s="20">
        <v>8.5981796666666703</v>
      </c>
      <c r="AI69" s="21">
        <f t="shared" si="1"/>
        <v>0.56978597166667022</v>
      </c>
      <c r="AJ69" s="21">
        <v>729246</v>
      </c>
      <c r="AK69" s="21">
        <v>1832456</v>
      </c>
      <c r="AL69" s="21">
        <v>1936535</v>
      </c>
      <c r="AM69" s="20">
        <v>240.61799999999999</v>
      </c>
      <c r="AN69" s="19">
        <v>5860161.96149211</v>
      </c>
      <c r="AO69" s="21">
        <v>8788.5239999999994</v>
      </c>
      <c r="AP69" s="21">
        <v>109.033</v>
      </c>
      <c r="AQ69" s="21">
        <v>99.832999999999998</v>
      </c>
      <c r="AR69" s="22">
        <v>0.16289999999999999</v>
      </c>
      <c r="AS69" s="22">
        <v>1.0154601033528601</v>
      </c>
      <c r="AT69" s="20">
        <v>98</v>
      </c>
      <c r="AU69" s="20">
        <v>-7.3</v>
      </c>
    </row>
    <row r="70" spans="1:47" ht="16" customHeight="1" x14ac:dyDescent="0.2">
      <c r="A70" s="18" t="s">
        <v>182</v>
      </c>
      <c r="B70" s="19">
        <v>1719874.45532857</v>
      </c>
      <c r="C70" s="19">
        <v>954922.40795696597</v>
      </c>
      <c r="D70" s="19">
        <v>367397.43768094399</v>
      </c>
      <c r="E70" s="19">
        <v>350885.37598584901</v>
      </c>
      <c r="F70" s="19">
        <v>297994.316710432</v>
      </c>
      <c r="G70" s="19">
        <v>267144.216702401</v>
      </c>
      <c r="H70" s="19">
        <v>314541.30838034302</v>
      </c>
      <c r="I70" s="20">
        <v>80.8</v>
      </c>
      <c r="J70" s="21">
        <v>47.236789416542003</v>
      </c>
      <c r="K70" s="21">
        <v>47.756074300565302</v>
      </c>
      <c r="L70" s="21">
        <v>43.636485694132602</v>
      </c>
      <c r="M70" s="21">
        <v>52.0193899518192</v>
      </c>
      <c r="N70" s="21">
        <v>68.673218115627805</v>
      </c>
      <c r="O70" s="21">
        <v>71.682970208512302</v>
      </c>
      <c r="P70" s="21">
        <v>51.961722561767999</v>
      </c>
      <c r="Q70" s="21">
        <v>40.1490800440654</v>
      </c>
      <c r="R70" s="21">
        <v>12.386335597249801</v>
      </c>
      <c r="S70" s="21">
        <v>60.927818663224102</v>
      </c>
      <c r="T70" s="22">
        <v>32.76</v>
      </c>
      <c r="U70" s="19">
        <v>423230.64479866001</v>
      </c>
      <c r="V70" s="19">
        <v>139168.53510617901</v>
      </c>
      <c r="W70" s="19">
        <v>126753.791684824</v>
      </c>
      <c r="X70" s="19">
        <v>103242.266354208</v>
      </c>
      <c r="Y70" s="21">
        <v>8.9206539480223093</v>
      </c>
      <c r="Z70" s="19">
        <v>55128822.684339903</v>
      </c>
      <c r="AA70" s="22">
        <v>0.24608229018542199</v>
      </c>
      <c r="AB70" s="22">
        <v>3.33899790430752</v>
      </c>
      <c r="AC70" s="20">
        <v>13.5686233324291</v>
      </c>
      <c r="AD70" s="20">
        <v>31.197373199430299</v>
      </c>
      <c r="AE70" s="20">
        <v>1.2202072955815899</v>
      </c>
      <c r="AF70" s="20">
        <v>0.98745926730522404</v>
      </c>
      <c r="AG70" s="20">
        <v>7.7533412579999998</v>
      </c>
      <c r="AH70" s="20">
        <v>8.4037046666666697</v>
      </c>
      <c r="AI70" s="21">
        <f t="shared" si="1"/>
        <v>0.65036340866666986</v>
      </c>
      <c r="AJ70" s="21">
        <v>748489</v>
      </c>
      <c r="AK70" s="21">
        <v>1872837</v>
      </c>
      <c r="AL70" s="21">
        <v>1976548</v>
      </c>
      <c r="AM70" s="20">
        <v>241.54040000000001</v>
      </c>
      <c r="AN70" s="19">
        <v>5898476.9290330904</v>
      </c>
      <c r="AO70" s="21">
        <v>8872.6010000000006</v>
      </c>
      <c r="AP70" s="21">
        <v>109.7</v>
      </c>
      <c r="AQ70" s="21">
        <v>99.367000000000004</v>
      </c>
      <c r="AR70" s="22">
        <v>9.6199999999999994E-2</v>
      </c>
      <c r="AS70" s="22">
        <v>0.86292676289876302</v>
      </c>
      <c r="AT70" s="20">
        <v>100.3</v>
      </c>
      <c r="AU70" s="20">
        <v>-6.8</v>
      </c>
    </row>
    <row r="71" spans="1:47" ht="16" customHeight="1" x14ac:dyDescent="0.2">
      <c r="A71" s="18" t="s">
        <v>183</v>
      </c>
      <c r="B71" s="19">
        <v>1724133.5366990301</v>
      </c>
      <c r="C71" s="19">
        <v>962187.51653070201</v>
      </c>
      <c r="D71" s="19">
        <v>369970.77156306198</v>
      </c>
      <c r="E71" s="19">
        <v>353997.54263825301</v>
      </c>
      <c r="F71" s="19">
        <v>295968.18574715097</v>
      </c>
      <c r="G71" s="19">
        <v>267812.98674698401</v>
      </c>
      <c r="H71" s="19">
        <v>317879.27553875302</v>
      </c>
      <c r="I71" s="20">
        <v>80.599999999999994</v>
      </c>
      <c r="J71" s="21">
        <v>47.640799028209301</v>
      </c>
      <c r="K71" s="21">
        <v>48.197923716433401</v>
      </c>
      <c r="L71" s="21">
        <v>44.019061505192099</v>
      </c>
      <c r="M71" s="21">
        <v>52.528739397074197</v>
      </c>
      <c r="N71" s="21">
        <v>68.852694070953007</v>
      </c>
      <c r="O71" s="21">
        <v>71.227842391923801</v>
      </c>
      <c r="P71" s="21">
        <v>52.142784021969398</v>
      </c>
      <c r="Q71" s="21">
        <v>44.2534735318714</v>
      </c>
      <c r="R71" s="21">
        <v>14.687294925301201</v>
      </c>
      <c r="S71" s="21">
        <v>60.186153189276901</v>
      </c>
      <c r="T71" s="22">
        <v>33.07</v>
      </c>
      <c r="U71" s="19">
        <v>429004.22846104403</v>
      </c>
      <c r="V71" s="19">
        <v>139729.74136867499</v>
      </c>
      <c r="W71" s="19">
        <v>127220.852624748</v>
      </c>
      <c r="X71" s="19">
        <v>103714.861592104</v>
      </c>
      <c r="Y71" s="21">
        <v>8.95220203043373</v>
      </c>
      <c r="Z71" s="19">
        <v>55291565.166767299</v>
      </c>
      <c r="AA71" s="22">
        <v>0.24882308668643</v>
      </c>
      <c r="AB71" s="22">
        <v>3.37212194078307</v>
      </c>
      <c r="AC71" s="20">
        <v>13.552287232224</v>
      </c>
      <c r="AD71" s="20">
        <v>31.182577876006899</v>
      </c>
      <c r="AE71" s="20">
        <v>1.2646969690482199</v>
      </c>
      <c r="AF71" s="20">
        <v>0.96320554806395697</v>
      </c>
      <c r="AG71" s="20">
        <v>7.8747735780000001</v>
      </c>
      <c r="AH71" s="20">
        <v>8.4729849999999995</v>
      </c>
      <c r="AI71" s="21">
        <f t="shared" si="1"/>
        <v>0.59821142199999944</v>
      </c>
      <c r="AJ71" s="21">
        <v>760344</v>
      </c>
      <c r="AK71" s="21">
        <v>1903734</v>
      </c>
      <c r="AL71" s="21">
        <v>2011545</v>
      </c>
      <c r="AM71" s="20">
        <v>243.7191</v>
      </c>
      <c r="AN71" s="19">
        <v>5958285.8309072396</v>
      </c>
      <c r="AO71" s="21">
        <v>8920.1929999999993</v>
      </c>
      <c r="AP71" s="21">
        <v>110.467</v>
      </c>
      <c r="AQ71" s="21">
        <v>99.733000000000004</v>
      </c>
      <c r="AR71" s="22">
        <v>4.7399999999999998E-2</v>
      </c>
      <c r="AS71" s="22">
        <v>0.881562067667643</v>
      </c>
      <c r="AT71" s="20">
        <v>100.5</v>
      </c>
      <c r="AU71" s="20">
        <v>-8.3000000000000007</v>
      </c>
    </row>
    <row r="72" spans="1:47" ht="16" customHeight="1" x14ac:dyDescent="0.2">
      <c r="A72" s="18" t="s">
        <v>184</v>
      </c>
      <c r="B72" s="19">
        <v>1715858.96007517</v>
      </c>
      <c r="C72" s="19">
        <v>963886.67666145996</v>
      </c>
      <c r="D72" s="19">
        <v>373512.52050286398</v>
      </c>
      <c r="E72" s="19">
        <v>348172.89472475502</v>
      </c>
      <c r="F72" s="19">
        <v>294529.93579426297</v>
      </c>
      <c r="G72" s="19">
        <v>274030.76338861202</v>
      </c>
      <c r="H72" s="19">
        <v>313680.34287945699</v>
      </c>
      <c r="I72" s="20">
        <v>80.7</v>
      </c>
      <c r="J72" s="21">
        <v>48.020614427303599</v>
      </c>
      <c r="K72" s="21">
        <v>48.559221047805899</v>
      </c>
      <c r="L72" s="21">
        <v>44.3079662097932</v>
      </c>
      <c r="M72" s="21">
        <v>52.998191529925698</v>
      </c>
      <c r="N72" s="21">
        <v>68.884101768693</v>
      </c>
      <c r="O72" s="21">
        <v>71.647165227456995</v>
      </c>
      <c r="P72" s="21">
        <v>52.6222865617748</v>
      </c>
      <c r="Q72" s="21">
        <v>49.447935180108203</v>
      </c>
      <c r="R72" s="21">
        <v>17.862910083941198</v>
      </c>
      <c r="S72" s="21">
        <v>59.221988074055098</v>
      </c>
      <c r="T72" s="22">
        <v>33.770000000000003</v>
      </c>
      <c r="U72" s="19">
        <v>434060.26260870101</v>
      </c>
      <c r="V72" s="19">
        <v>140083.78689483501</v>
      </c>
      <c r="W72" s="19">
        <v>127502.73147957399</v>
      </c>
      <c r="X72" s="19">
        <v>103967.891084114</v>
      </c>
      <c r="Y72" s="21">
        <v>8.9810931686943292</v>
      </c>
      <c r="Z72" s="19">
        <v>55393422.262013398</v>
      </c>
      <c r="AA72" s="22">
        <v>0.252969662838539</v>
      </c>
      <c r="AB72" s="22">
        <v>3.4043212845070498</v>
      </c>
      <c r="AC72" s="20">
        <v>13.457429030452101</v>
      </c>
      <c r="AD72" s="20">
        <v>30.975861212529502</v>
      </c>
      <c r="AE72" s="20">
        <v>1.30008893359818</v>
      </c>
      <c r="AF72" s="20">
        <v>0.88920505068468803</v>
      </c>
      <c r="AG72" s="20">
        <v>8.1053529750000006</v>
      </c>
      <c r="AH72" s="20">
        <v>8.4712589999999999</v>
      </c>
      <c r="AI72" s="21">
        <f t="shared" si="1"/>
        <v>0.36590602499999925</v>
      </c>
      <c r="AJ72" s="21">
        <v>777454</v>
      </c>
      <c r="AK72" s="21">
        <v>1940390</v>
      </c>
      <c r="AL72" s="21">
        <v>2053663</v>
      </c>
      <c r="AM72" s="20">
        <v>278.94659999999999</v>
      </c>
      <c r="AN72" s="19">
        <v>5983157.0301214801</v>
      </c>
      <c r="AO72" s="21">
        <v>8986.3670000000002</v>
      </c>
      <c r="AP72" s="21">
        <v>111.8</v>
      </c>
      <c r="AQ72" s="21">
        <v>100.9</v>
      </c>
      <c r="AR72" s="22">
        <v>0.1074</v>
      </c>
      <c r="AS72" s="22">
        <v>0.79489651997884103</v>
      </c>
      <c r="AT72" s="20">
        <v>99.8</v>
      </c>
      <c r="AU72" s="20">
        <v>-8.1999999999999993</v>
      </c>
    </row>
    <row r="73" spans="1:47" ht="16" customHeight="1" x14ac:dyDescent="0.2">
      <c r="A73" s="18" t="s">
        <v>185</v>
      </c>
      <c r="B73" s="19">
        <v>1744766.9075000701</v>
      </c>
      <c r="C73" s="19">
        <v>980554.48247424595</v>
      </c>
      <c r="D73" s="19">
        <v>376942.44451500702</v>
      </c>
      <c r="E73" s="19">
        <v>359759.64607815898</v>
      </c>
      <c r="F73" s="19">
        <v>298920.38406817801</v>
      </c>
      <c r="G73" s="19">
        <v>280722.797641207</v>
      </c>
      <c r="H73" s="19">
        <v>325306.71973542601</v>
      </c>
      <c r="I73" s="20">
        <v>80.8</v>
      </c>
      <c r="J73" s="21">
        <v>48.469620357071499</v>
      </c>
      <c r="K73" s="21">
        <v>49.020433616068502</v>
      </c>
      <c r="L73" s="21">
        <v>45.141213847395399</v>
      </c>
      <c r="M73" s="21">
        <v>53.4712252719779</v>
      </c>
      <c r="N73" s="21">
        <v>69.202746838391803</v>
      </c>
      <c r="O73" s="21">
        <v>72.127321868020701</v>
      </c>
      <c r="P73" s="21">
        <v>52.976874475133499</v>
      </c>
      <c r="Q73" s="21">
        <v>51.934311083936699</v>
      </c>
      <c r="R73" s="21">
        <v>18.637610948488501</v>
      </c>
      <c r="S73" s="21">
        <v>62.8190656210867</v>
      </c>
      <c r="T73" s="22">
        <v>34.4</v>
      </c>
      <c r="U73" s="19">
        <v>443141.24552487</v>
      </c>
      <c r="V73" s="19">
        <v>140513.83371714299</v>
      </c>
      <c r="W73" s="19">
        <v>127849.42653905701</v>
      </c>
      <c r="X73" s="19">
        <v>104301.36382994099</v>
      </c>
      <c r="Y73" s="21">
        <v>9.0129255199024296</v>
      </c>
      <c r="Z73" s="19">
        <v>55546366.328882501</v>
      </c>
      <c r="AA73" s="22">
        <v>0.253983064224785</v>
      </c>
      <c r="AB73" s="22">
        <v>3.4661183669016502</v>
      </c>
      <c r="AC73" s="20">
        <v>13.647045236976901</v>
      </c>
      <c r="AD73" s="20">
        <v>31.410999905368101</v>
      </c>
      <c r="AE73" s="20">
        <v>1.27968413662559</v>
      </c>
      <c r="AF73" s="20">
        <v>0.86971647242998795</v>
      </c>
      <c r="AG73" s="20">
        <v>8.4258268600000008</v>
      </c>
      <c r="AH73" s="20">
        <v>8.6889946666666695</v>
      </c>
      <c r="AI73" s="21">
        <f t="shared" si="1"/>
        <v>0.26316780666666872</v>
      </c>
      <c r="AJ73" s="21">
        <v>796118</v>
      </c>
      <c r="AK73" s="21">
        <v>1975973</v>
      </c>
      <c r="AL73" s="21">
        <v>2095216</v>
      </c>
      <c r="AM73" s="20">
        <v>293.12700000000001</v>
      </c>
      <c r="AN73" s="19">
        <v>6031634.3930384303</v>
      </c>
      <c r="AO73" s="21">
        <v>9083.2559999999994</v>
      </c>
      <c r="AP73" s="21">
        <v>113.06699999999999</v>
      </c>
      <c r="AQ73" s="21">
        <v>102.5</v>
      </c>
      <c r="AR73" s="22">
        <v>2.4199999999999999E-2</v>
      </c>
      <c r="AS73" s="22">
        <v>0.85381721496581997</v>
      </c>
      <c r="AT73" s="20">
        <v>100.2</v>
      </c>
      <c r="AU73" s="20">
        <v>-7.5</v>
      </c>
    </row>
    <row r="74" spans="1:47" ht="16" customHeight="1" x14ac:dyDescent="0.2">
      <c r="A74" s="18" t="s">
        <v>186</v>
      </c>
      <c r="B74" s="19">
        <v>1763504.09754661</v>
      </c>
      <c r="C74" s="19">
        <v>988990.93990404403</v>
      </c>
      <c r="D74" s="19">
        <v>379346.53065569501</v>
      </c>
      <c r="E74" s="19">
        <v>368101.06433948298</v>
      </c>
      <c r="F74" s="19">
        <v>313828.78979061299</v>
      </c>
      <c r="G74" s="19">
        <v>292072.98197342799</v>
      </c>
      <c r="H74" s="19">
        <v>330927.98028174398</v>
      </c>
      <c r="I74" s="20">
        <v>80.5</v>
      </c>
      <c r="J74" s="21">
        <v>48.810184087794603</v>
      </c>
      <c r="K74" s="21">
        <v>49.3964173543973</v>
      </c>
      <c r="L74" s="21">
        <v>45.580490203843603</v>
      </c>
      <c r="M74" s="21">
        <v>53.811500209357398</v>
      </c>
      <c r="N74" s="21">
        <v>69.346085707677503</v>
      </c>
      <c r="O74" s="21">
        <v>72.837126357944001</v>
      </c>
      <c r="P74" s="21">
        <v>53.247482987755397</v>
      </c>
      <c r="Q74" s="21">
        <v>53.248824888009501</v>
      </c>
      <c r="R74" s="21">
        <v>19.05</v>
      </c>
      <c r="S74" s="21">
        <v>64.710312578949299</v>
      </c>
      <c r="T74" s="22">
        <v>34.89</v>
      </c>
      <c r="U74" s="19">
        <v>450204.07803629601</v>
      </c>
      <c r="V74" s="19">
        <v>140856.19389048399</v>
      </c>
      <c r="W74" s="19">
        <v>128208.764276876</v>
      </c>
      <c r="X74" s="19">
        <v>104754.425100743</v>
      </c>
      <c r="Y74" s="21">
        <v>8.9789658972623396</v>
      </c>
      <c r="Z74" s="19">
        <v>55713023.571079597</v>
      </c>
      <c r="AA74" s="22">
        <v>0.25528949927738798</v>
      </c>
      <c r="AB74" s="22">
        <v>3.5114922179894701</v>
      </c>
      <c r="AC74" s="20">
        <v>13.754941852010999</v>
      </c>
      <c r="AD74" s="20">
        <v>31.653354718698701</v>
      </c>
      <c r="AE74" s="20">
        <v>1.2732455772390701</v>
      </c>
      <c r="AF74" s="20">
        <v>0.88621056362991801</v>
      </c>
      <c r="AG74" s="20">
        <v>8.4902365050000004</v>
      </c>
      <c r="AH74" s="20">
        <v>9.4721729999999997</v>
      </c>
      <c r="AI74" s="21">
        <f t="shared" si="1"/>
        <v>0.98193649499999935</v>
      </c>
      <c r="AJ74" s="21">
        <v>809350</v>
      </c>
      <c r="AK74" s="21">
        <v>2002177</v>
      </c>
      <c r="AL74" s="21">
        <v>2137689</v>
      </c>
      <c r="AM74" s="20">
        <v>319.27449999999999</v>
      </c>
      <c r="AN74" s="19">
        <v>6131303.5409124698</v>
      </c>
      <c r="AO74" s="21">
        <v>9162.0239999999994</v>
      </c>
      <c r="AP74" s="21">
        <v>114.267</v>
      </c>
      <c r="AQ74" s="21">
        <v>103.667</v>
      </c>
      <c r="AR74" s="22">
        <v>1.7999999999999999E-2</v>
      </c>
      <c r="AS74" s="22">
        <v>0.90201222737630304</v>
      </c>
      <c r="AT74" s="20">
        <v>100.5</v>
      </c>
      <c r="AU74" s="20">
        <v>-6.4</v>
      </c>
    </row>
    <row r="75" spans="1:47" ht="16" customHeight="1" x14ac:dyDescent="0.2">
      <c r="A75" s="18" t="s">
        <v>187</v>
      </c>
      <c r="B75" s="19">
        <v>1785983.2710575301</v>
      </c>
      <c r="C75" s="19">
        <v>1001438.57749152</v>
      </c>
      <c r="D75" s="19">
        <v>382690.11765787401</v>
      </c>
      <c r="E75" s="19">
        <v>373654.75089130801</v>
      </c>
      <c r="F75" s="19">
        <v>313851.50804489298</v>
      </c>
      <c r="G75" s="19">
        <v>298005.17031618499</v>
      </c>
      <c r="H75" s="19">
        <v>340807.092375729</v>
      </c>
      <c r="I75" s="20">
        <v>81.5</v>
      </c>
      <c r="J75" s="21">
        <v>49.392161460393801</v>
      </c>
      <c r="K75" s="21">
        <v>49.765654132991699</v>
      </c>
      <c r="L75" s="21">
        <v>46.038454738255702</v>
      </c>
      <c r="M75" s="21">
        <v>54.5355715213515</v>
      </c>
      <c r="N75" s="21">
        <v>69.997398548751406</v>
      </c>
      <c r="O75" s="21">
        <v>72.481338959935897</v>
      </c>
      <c r="P75" s="21">
        <v>53.521775755881201</v>
      </c>
      <c r="Q75" s="21">
        <v>53.618270241542803</v>
      </c>
      <c r="R75" s="21">
        <v>17.863333333333301</v>
      </c>
      <c r="S75" s="21">
        <v>71.607801484095106</v>
      </c>
      <c r="T75" s="22">
        <v>35.81</v>
      </c>
      <c r="U75" s="19">
        <v>458072.89293485798</v>
      </c>
      <c r="V75" s="19">
        <v>141102.06695143299</v>
      </c>
      <c r="W75" s="19">
        <v>128552.69523321099</v>
      </c>
      <c r="X75" s="19">
        <v>105077.725431349</v>
      </c>
      <c r="Y75" s="21">
        <v>8.8938255755967308</v>
      </c>
      <c r="Z75" s="19">
        <v>55861901.283008598</v>
      </c>
      <c r="AA75" s="22">
        <v>0.25648218567222097</v>
      </c>
      <c r="AB75" s="22">
        <v>3.5633083546312001</v>
      </c>
      <c r="AC75" s="20">
        <v>13.8930052599639</v>
      </c>
      <c r="AD75" s="20">
        <v>31.971401438868799</v>
      </c>
      <c r="AE75" s="20">
        <v>1.2992862049482901</v>
      </c>
      <c r="AF75" s="20">
        <v>0.82365538258792503</v>
      </c>
      <c r="AG75" s="20">
        <v>8.4260121350000006</v>
      </c>
      <c r="AH75" s="20">
        <v>9.6134296666666703</v>
      </c>
      <c r="AI75" s="21">
        <f t="shared" si="1"/>
        <v>1.1874175316666697</v>
      </c>
      <c r="AJ75" s="21">
        <v>815428</v>
      </c>
      <c r="AK75" s="21">
        <v>2027444</v>
      </c>
      <c r="AL75" s="21">
        <v>2173838</v>
      </c>
      <c r="AM75" s="20">
        <v>255.52180000000001</v>
      </c>
      <c r="AN75" s="19">
        <v>6215562.0772167696</v>
      </c>
      <c r="AO75" s="21">
        <v>9319.3320000000003</v>
      </c>
      <c r="AP75" s="21">
        <v>115.333</v>
      </c>
      <c r="AQ75" s="21">
        <v>104.167</v>
      </c>
      <c r="AR75" s="22">
        <v>0.18329999999999999</v>
      </c>
      <c r="AS75" s="22">
        <v>0.86296427408854204</v>
      </c>
      <c r="AT75" s="20">
        <v>103.8</v>
      </c>
      <c r="AU75" s="20">
        <v>-3.1</v>
      </c>
    </row>
    <row r="76" spans="1:47" ht="16" customHeight="1" x14ac:dyDescent="0.2">
      <c r="A76" s="18" t="s">
        <v>188</v>
      </c>
      <c r="B76" s="19">
        <v>1795845.49289983</v>
      </c>
      <c r="C76" s="19">
        <v>1001967.70531992</v>
      </c>
      <c r="D76" s="19">
        <v>385238.212888507</v>
      </c>
      <c r="E76" s="19">
        <v>379682.37973517599</v>
      </c>
      <c r="F76" s="19">
        <v>307449.234237811</v>
      </c>
      <c r="G76" s="19">
        <v>295418.21675297403</v>
      </c>
      <c r="H76" s="19">
        <v>346418.64225520601</v>
      </c>
      <c r="I76" s="20">
        <v>81.5</v>
      </c>
      <c r="J76" s="21">
        <v>49.866117673977399</v>
      </c>
      <c r="K76" s="21">
        <v>50.124727064923299</v>
      </c>
      <c r="L76" s="21">
        <v>46.432101548326102</v>
      </c>
      <c r="M76" s="21">
        <v>54.961497594180898</v>
      </c>
      <c r="N76" s="21">
        <v>70.0681472724862</v>
      </c>
      <c r="O76" s="21">
        <v>72.570792959071198</v>
      </c>
      <c r="P76" s="21">
        <v>53.896274160989201</v>
      </c>
      <c r="Q76" s="21">
        <v>51.124192133511201</v>
      </c>
      <c r="R76" s="21">
        <v>15.7366666666667</v>
      </c>
      <c r="S76" s="21">
        <v>77.466958726376305</v>
      </c>
      <c r="T76" s="22">
        <v>36.36</v>
      </c>
      <c r="U76" s="19">
        <v>466310.036954902</v>
      </c>
      <c r="V76" s="19">
        <v>141618.064222035</v>
      </c>
      <c r="W76" s="19">
        <v>129114.86655653801</v>
      </c>
      <c r="X76" s="19">
        <v>105511.40853186</v>
      </c>
      <c r="Y76" s="21">
        <v>8.8288155428348691</v>
      </c>
      <c r="Z76" s="19">
        <v>56074257.839678399</v>
      </c>
      <c r="AA76" s="22">
        <v>0.259660443394787</v>
      </c>
      <c r="AB76" s="22">
        <v>3.61159058899471</v>
      </c>
      <c r="AC76" s="20">
        <v>13.908897873611201</v>
      </c>
      <c r="AD76" s="20">
        <v>32.026201720481502</v>
      </c>
      <c r="AE76" s="20">
        <v>1.29238272094146</v>
      </c>
      <c r="AF76" s="20">
        <v>0.81070125658694803</v>
      </c>
      <c r="AG76" s="20">
        <v>7.4535991590000004</v>
      </c>
      <c r="AH76" s="20">
        <v>8.9861620000000002</v>
      </c>
      <c r="AI76" s="21">
        <f t="shared" si="1"/>
        <v>1.5325628409999998</v>
      </c>
      <c r="AJ76" s="21">
        <v>832408</v>
      </c>
      <c r="AK76" s="21">
        <v>2057427</v>
      </c>
      <c r="AL76" s="21">
        <v>2210937</v>
      </c>
      <c r="AM76" s="20">
        <v>258.0521</v>
      </c>
      <c r="AN76" s="19">
        <v>6289205.2466917001</v>
      </c>
      <c r="AO76" s="21">
        <v>9367.5020000000004</v>
      </c>
      <c r="AP76" s="21">
        <v>116.233</v>
      </c>
      <c r="AQ76" s="21">
        <v>104.767</v>
      </c>
      <c r="AR76" s="22">
        <v>0.14580000000000001</v>
      </c>
      <c r="AS76" s="22">
        <v>0.79592135111490903</v>
      </c>
      <c r="AT76" s="20">
        <v>103.6</v>
      </c>
      <c r="AU76" s="20">
        <v>-3.4</v>
      </c>
    </row>
    <row r="77" spans="1:47" ht="16" customHeight="1" x14ac:dyDescent="0.2">
      <c r="A77" s="18" t="s">
        <v>189</v>
      </c>
      <c r="B77" s="19">
        <v>1812354.18608998</v>
      </c>
      <c r="C77" s="19">
        <v>1007510.15181424</v>
      </c>
      <c r="D77" s="19">
        <v>386627.85501362401</v>
      </c>
      <c r="E77" s="19">
        <v>386856.06404366501</v>
      </c>
      <c r="F77" s="19">
        <v>323742.38284869399</v>
      </c>
      <c r="G77" s="19">
        <v>306006.13838561001</v>
      </c>
      <c r="H77" s="19">
        <v>353657.01581870002</v>
      </c>
      <c r="I77" s="20">
        <v>81.2</v>
      </c>
      <c r="J77" s="21">
        <v>50.417981277284802</v>
      </c>
      <c r="K77" s="21">
        <v>50.684722887341003</v>
      </c>
      <c r="L77" s="21">
        <v>46.8982455556906</v>
      </c>
      <c r="M77" s="21">
        <v>55.6072614178997</v>
      </c>
      <c r="N77" s="21">
        <v>70.918625865497802</v>
      </c>
      <c r="O77" s="21">
        <v>73.222636461717599</v>
      </c>
      <c r="P77" s="21">
        <v>54.285819812305803</v>
      </c>
      <c r="Q77" s="21">
        <v>54.933540502512301</v>
      </c>
      <c r="R77" s="21">
        <v>16.149999999999999</v>
      </c>
      <c r="S77" s="21">
        <v>89.4448561264483</v>
      </c>
      <c r="T77" s="22">
        <v>37.36</v>
      </c>
      <c r="U77" s="19">
        <v>474175.37247761502</v>
      </c>
      <c r="V77" s="19">
        <v>142040.38393534199</v>
      </c>
      <c r="W77" s="19">
        <v>129588.515185692</v>
      </c>
      <c r="X77" s="19">
        <v>106018.89252679</v>
      </c>
      <c r="Y77" s="21">
        <v>8.7664285357878509</v>
      </c>
      <c r="Z77" s="19">
        <v>56203690.6094018</v>
      </c>
      <c r="AA77" s="22">
        <v>0.26163504690030398</v>
      </c>
      <c r="AB77" s="22">
        <v>3.65908484867006</v>
      </c>
      <c r="AC77" s="20">
        <v>13.9854537533129</v>
      </c>
      <c r="AD77" s="20">
        <v>32.2461775452662</v>
      </c>
      <c r="AE77" s="20">
        <v>1.26302166166284</v>
      </c>
      <c r="AF77" s="20">
        <v>0.82216558414864804</v>
      </c>
      <c r="AG77" s="20">
        <v>7.2598364330000003</v>
      </c>
      <c r="AH77" s="20">
        <v>8.8829396666666707</v>
      </c>
      <c r="AI77" s="21">
        <f t="shared" si="1"/>
        <v>1.6231032336666704</v>
      </c>
      <c r="AJ77" s="21">
        <v>854395</v>
      </c>
      <c r="AK77" s="21">
        <v>2100900</v>
      </c>
      <c r="AL77" s="21">
        <v>2262415</v>
      </c>
      <c r="AM77" s="20">
        <v>263.03960000000001</v>
      </c>
      <c r="AN77" s="19">
        <v>6341566.7413358903</v>
      </c>
      <c r="AO77" s="21">
        <v>9490.5939999999991</v>
      </c>
      <c r="AP77" s="21">
        <v>117.56699999999999</v>
      </c>
      <c r="AQ77" s="21">
        <v>106.5</v>
      </c>
      <c r="AR77" s="22">
        <v>7.0900000000000005E-2</v>
      </c>
      <c r="AS77" s="22">
        <v>0.83883221944173203</v>
      </c>
      <c r="AT77" s="20">
        <v>106.2</v>
      </c>
      <c r="AU77" s="20">
        <v>-0.9</v>
      </c>
    </row>
    <row r="78" spans="1:47" ht="16" customHeight="1" x14ac:dyDescent="0.2">
      <c r="A78" s="18" t="s">
        <v>190</v>
      </c>
      <c r="B78" s="19">
        <v>1834802.07076532</v>
      </c>
      <c r="C78" s="19">
        <v>1022023.40553619</v>
      </c>
      <c r="D78" s="19">
        <v>388293.62658642599</v>
      </c>
      <c r="E78" s="19">
        <v>393369.86461448</v>
      </c>
      <c r="F78" s="19">
        <v>328911.68163854501</v>
      </c>
      <c r="G78" s="19">
        <v>316796.91265744698</v>
      </c>
      <c r="H78" s="19">
        <v>362992.56078384601</v>
      </c>
      <c r="I78" s="20">
        <v>82.4</v>
      </c>
      <c r="J78" s="21">
        <v>50.868718336045397</v>
      </c>
      <c r="K78" s="21">
        <v>51.180212825545098</v>
      </c>
      <c r="L78" s="21">
        <v>47.540328953143799</v>
      </c>
      <c r="M78" s="21">
        <v>56.290355576499699</v>
      </c>
      <c r="N78" s="21">
        <v>72.089850543435205</v>
      </c>
      <c r="O78" s="21">
        <v>75.041318804740698</v>
      </c>
      <c r="P78" s="21">
        <v>54.7012975579811</v>
      </c>
      <c r="Q78" s="21">
        <v>50.828713411768199</v>
      </c>
      <c r="R78" s="21">
        <v>14.3266666666667</v>
      </c>
      <c r="S78" s="21">
        <v>87.701942263044401</v>
      </c>
      <c r="T78" s="22">
        <v>38.6</v>
      </c>
      <c r="U78" s="19">
        <v>482024.40020858101</v>
      </c>
      <c r="V78" s="19">
        <v>142257.10021649199</v>
      </c>
      <c r="W78" s="19">
        <v>129915.411333155</v>
      </c>
      <c r="X78" s="19">
        <v>106429.046022789</v>
      </c>
      <c r="Y78" s="21">
        <v>8.67562242204745</v>
      </c>
      <c r="Z78" s="19">
        <v>56235653.742946602</v>
      </c>
      <c r="AA78" s="22">
        <v>0.26271193383138203</v>
      </c>
      <c r="AB78" s="22">
        <v>3.7102942234657399</v>
      </c>
      <c r="AC78" s="20">
        <v>14.123051699079401</v>
      </c>
      <c r="AD78" s="20">
        <v>32.627024825784098</v>
      </c>
      <c r="AE78" s="20">
        <v>1.21928350437285</v>
      </c>
      <c r="AF78" s="20">
        <v>0.89798850574712696</v>
      </c>
      <c r="AG78" s="20">
        <v>7.9743925070000001</v>
      </c>
      <c r="AH78" s="20">
        <v>9.0341199999999997</v>
      </c>
      <c r="AI78" s="21">
        <f t="shared" si="1"/>
        <v>1.0597274929999996</v>
      </c>
      <c r="AJ78" s="21">
        <v>869720</v>
      </c>
      <c r="AK78" s="21">
        <v>2139817</v>
      </c>
      <c r="AL78" s="21">
        <v>2315101</v>
      </c>
      <c r="AM78" s="20">
        <v>266.9058</v>
      </c>
      <c r="AN78" s="19">
        <v>6420704.2106193202</v>
      </c>
      <c r="AO78" s="21">
        <v>9546.2060000000001</v>
      </c>
      <c r="AP78" s="21">
        <v>119</v>
      </c>
      <c r="AQ78" s="21">
        <v>108</v>
      </c>
      <c r="AR78" s="22">
        <v>5.0999999999999997E-2</v>
      </c>
      <c r="AS78" s="22">
        <v>0.66080266316731795</v>
      </c>
      <c r="AT78" s="20">
        <v>108.1</v>
      </c>
      <c r="AU78" s="20">
        <v>2.1</v>
      </c>
    </row>
    <row r="79" spans="1:47" ht="16" customHeight="1" x14ac:dyDescent="0.2">
      <c r="A79" s="18" t="s">
        <v>191</v>
      </c>
      <c r="B79" s="19">
        <v>1851771.1451386199</v>
      </c>
      <c r="C79" s="19">
        <v>1029665.6712274</v>
      </c>
      <c r="D79" s="19">
        <v>391660.629056037</v>
      </c>
      <c r="E79" s="19">
        <v>400511.00501808902</v>
      </c>
      <c r="F79" s="19">
        <v>337400.49335013999</v>
      </c>
      <c r="G79" s="19">
        <v>322809.82050931797</v>
      </c>
      <c r="H79" s="19">
        <v>374676.703833337</v>
      </c>
      <c r="I79" s="20">
        <v>83.2</v>
      </c>
      <c r="J79" s="21">
        <v>51.533860320014398</v>
      </c>
      <c r="K79" s="21">
        <v>51.721809832550903</v>
      </c>
      <c r="L79" s="21">
        <v>48.072365564424899</v>
      </c>
      <c r="M79" s="21">
        <v>56.843600694600802</v>
      </c>
      <c r="N79" s="21">
        <v>73.119132453131996</v>
      </c>
      <c r="O79" s="21">
        <v>75.192866633928404</v>
      </c>
      <c r="P79" s="21">
        <v>55.123778804616002</v>
      </c>
      <c r="Q79" s="21">
        <v>48.609690177791798</v>
      </c>
      <c r="R79" s="21">
        <v>13.58</v>
      </c>
      <c r="S79" s="21">
        <v>87.331109526484198</v>
      </c>
      <c r="T79" s="22">
        <v>39.35</v>
      </c>
      <c r="U79" s="19">
        <v>490107.95946517901</v>
      </c>
      <c r="V79" s="19">
        <v>142396.65588991201</v>
      </c>
      <c r="W79" s="19">
        <v>130254.535142151</v>
      </c>
      <c r="X79" s="19">
        <v>106793.44392782899</v>
      </c>
      <c r="Y79" s="21">
        <v>8.5269704347184092</v>
      </c>
      <c r="Z79" s="19">
        <v>56254799.354663201</v>
      </c>
      <c r="AA79" s="22">
        <v>0.26466983285263901</v>
      </c>
      <c r="AB79" s="22">
        <v>3.7626940123835699</v>
      </c>
      <c r="AC79" s="20">
        <v>14.216557934951901</v>
      </c>
      <c r="AD79" s="20">
        <v>32.917567325482203</v>
      </c>
      <c r="AE79" s="20">
        <v>1.2334111329959001</v>
      </c>
      <c r="AF79" s="20">
        <v>0.85448175681449201</v>
      </c>
      <c r="AG79" s="20">
        <v>8.4754225069999993</v>
      </c>
      <c r="AH79" s="20">
        <v>8.98069466666667</v>
      </c>
      <c r="AI79" s="21">
        <f t="shared" si="1"/>
        <v>0.50527215966667072</v>
      </c>
      <c r="AJ79" s="21">
        <v>882693</v>
      </c>
      <c r="AK79" s="21">
        <v>2173774</v>
      </c>
      <c r="AL79" s="21">
        <v>2358041</v>
      </c>
      <c r="AM79" s="20">
        <v>274.96780000000001</v>
      </c>
      <c r="AN79" s="19">
        <v>6481522.8182628099</v>
      </c>
      <c r="AO79" s="21">
        <v>9673.4050000000007</v>
      </c>
      <c r="AP79" s="21">
        <v>120.3</v>
      </c>
      <c r="AQ79" s="21">
        <v>108.5</v>
      </c>
      <c r="AR79" s="22">
        <v>2.3300000000000001E-2</v>
      </c>
      <c r="AS79" s="22">
        <v>0.617776947021484</v>
      </c>
      <c r="AT79" s="20">
        <v>113.6</v>
      </c>
      <c r="AU79" s="20">
        <v>6.3</v>
      </c>
    </row>
    <row r="80" spans="1:47" ht="16" customHeight="1" x14ac:dyDescent="0.2">
      <c r="A80" s="18" t="s">
        <v>192</v>
      </c>
      <c r="B80" s="19">
        <v>1873522.57646528</v>
      </c>
      <c r="C80" s="19">
        <v>1039590.36318725</v>
      </c>
      <c r="D80" s="19">
        <v>390612.40877615701</v>
      </c>
      <c r="E80" s="19">
        <v>410850.344780577</v>
      </c>
      <c r="F80" s="19">
        <v>342342.464009555</v>
      </c>
      <c r="G80" s="19">
        <v>330656.29757420497</v>
      </c>
      <c r="H80" s="19">
        <v>382802.44049208902</v>
      </c>
      <c r="I80" s="20">
        <v>84.5</v>
      </c>
      <c r="J80" s="21">
        <v>52.159761453908501</v>
      </c>
      <c r="K80" s="21">
        <v>52.321045094445303</v>
      </c>
      <c r="L80" s="21">
        <v>49.050025145983099</v>
      </c>
      <c r="M80" s="21">
        <v>57.4950230896332</v>
      </c>
      <c r="N80" s="21">
        <v>73.998248521846307</v>
      </c>
      <c r="O80" s="21">
        <v>77.049093645598006</v>
      </c>
      <c r="P80" s="21">
        <v>55.831041350665799</v>
      </c>
      <c r="Q80" s="21">
        <v>57.092883572388502</v>
      </c>
      <c r="R80" s="21">
        <v>17.586666666666702</v>
      </c>
      <c r="S80" s="21">
        <v>88.109858273839393</v>
      </c>
      <c r="T80" s="22">
        <v>40.65</v>
      </c>
      <c r="U80" s="19">
        <v>501546.38411561598</v>
      </c>
      <c r="V80" s="19">
        <v>142871.64177479301</v>
      </c>
      <c r="W80" s="19">
        <v>130831.12943671099</v>
      </c>
      <c r="X80" s="19">
        <v>107473.348111813</v>
      </c>
      <c r="Y80" s="21">
        <v>8.42750330892226</v>
      </c>
      <c r="Z80" s="19">
        <v>56377001.032973297</v>
      </c>
      <c r="AA80" s="22">
        <v>0.267702343390955</v>
      </c>
      <c r="AB80" s="22">
        <v>3.8335401236312001</v>
      </c>
      <c r="AC80" s="20">
        <v>14.320159005977199</v>
      </c>
      <c r="AD80" s="20">
        <v>33.232036861441301</v>
      </c>
      <c r="AE80" s="20">
        <v>1.2133078203905601</v>
      </c>
      <c r="AF80" s="20">
        <v>0.88794175102113304</v>
      </c>
      <c r="AG80" s="20">
        <v>9.5159466239999997</v>
      </c>
      <c r="AH80" s="20">
        <v>9.4042463333333295</v>
      </c>
      <c r="AI80" s="21">
        <f t="shared" si="1"/>
        <v>-0.1117002906666702</v>
      </c>
      <c r="AJ80" s="21">
        <v>908243</v>
      </c>
      <c r="AK80" s="21">
        <v>2222161</v>
      </c>
      <c r="AL80" s="21">
        <v>2423922</v>
      </c>
      <c r="AM80" s="20">
        <v>290.58769999999998</v>
      </c>
      <c r="AN80" s="19">
        <v>6550913.1407786896</v>
      </c>
      <c r="AO80" s="21">
        <v>9771.7250000000004</v>
      </c>
      <c r="AP80" s="21">
        <v>121.667</v>
      </c>
      <c r="AQ80" s="21">
        <v>110.93300000000001</v>
      </c>
      <c r="AR80" s="22">
        <v>1.9199999999999998E-2</v>
      </c>
      <c r="AS80" s="22">
        <v>0.80236785888671902</v>
      </c>
      <c r="AT80" s="20">
        <v>112.2</v>
      </c>
      <c r="AU80" s="20">
        <v>5.4</v>
      </c>
    </row>
    <row r="81" spans="1:47" ht="16" customHeight="1" x14ac:dyDescent="0.2">
      <c r="A81" s="18" t="s">
        <v>193</v>
      </c>
      <c r="B81" s="19">
        <v>1891333.3795654201</v>
      </c>
      <c r="C81" s="19">
        <v>1046083.3447689899</v>
      </c>
      <c r="D81" s="19">
        <v>393598.16563759401</v>
      </c>
      <c r="E81" s="19">
        <v>414924.34544234298</v>
      </c>
      <c r="F81" s="19">
        <v>356181.87990349199</v>
      </c>
      <c r="G81" s="19">
        <v>340637.74943199899</v>
      </c>
      <c r="H81" s="19">
        <v>391150.527266616</v>
      </c>
      <c r="I81" s="20">
        <v>83.8</v>
      </c>
      <c r="J81" s="21">
        <v>52.6109514028376</v>
      </c>
      <c r="K81" s="21">
        <v>53.116659543860401</v>
      </c>
      <c r="L81" s="21">
        <v>49.217433906681798</v>
      </c>
      <c r="M81" s="21">
        <v>58.202480105570302</v>
      </c>
      <c r="N81" s="21">
        <v>75.096900213381801</v>
      </c>
      <c r="O81" s="21">
        <v>78.990813817562696</v>
      </c>
      <c r="P81" s="21">
        <v>56.474651228530497</v>
      </c>
      <c r="Q81" s="21">
        <v>57.857118522982901</v>
      </c>
      <c r="R81" s="21">
        <v>18.873333333333299</v>
      </c>
      <c r="S81" s="21">
        <v>82.621533768118297</v>
      </c>
      <c r="T81" s="22">
        <v>41.73</v>
      </c>
      <c r="U81" s="19">
        <v>509384.709667299</v>
      </c>
      <c r="V81" s="19">
        <v>143264.88067196601</v>
      </c>
      <c r="W81" s="19">
        <v>131362.56660306099</v>
      </c>
      <c r="X81" s="19">
        <v>108046.736418082</v>
      </c>
      <c r="Y81" s="21">
        <v>8.3079077112814304</v>
      </c>
      <c r="Z81" s="19">
        <v>56495830.076129504</v>
      </c>
      <c r="AA81" s="22">
        <v>0.26932571231008701</v>
      </c>
      <c r="AB81" s="22">
        <v>3.87770064821061</v>
      </c>
      <c r="AC81" s="20">
        <v>14.397810795524901</v>
      </c>
      <c r="AD81" s="20">
        <v>33.477397836562403</v>
      </c>
      <c r="AE81" s="20">
        <v>1.2129173044441199</v>
      </c>
      <c r="AF81" s="20">
        <v>0.93083868565577599</v>
      </c>
      <c r="AG81" s="20">
        <v>9.6913450809999997</v>
      </c>
      <c r="AH81" s="20">
        <v>9.6271593333333296</v>
      </c>
      <c r="AI81" s="21">
        <f t="shared" si="1"/>
        <v>-6.4185747666670068E-2</v>
      </c>
      <c r="AJ81" s="21">
        <v>920566</v>
      </c>
      <c r="AK81" s="21">
        <v>2263203</v>
      </c>
      <c r="AL81" s="21">
        <v>2480570</v>
      </c>
      <c r="AM81" s="20">
        <v>313.41390000000001</v>
      </c>
      <c r="AN81" s="19">
        <v>6576887.1469760202</v>
      </c>
      <c r="AO81" s="21">
        <v>9846.2929999999997</v>
      </c>
      <c r="AP81" s="21">
        <v>123.633</v>
      </c>
      <c r="AQ81" s="21">
        <v>112.8</v>
      </c>
      <c r="AR81" s="22">
        <v>1.54E-2</v>
      </c>
      <c r="AS81" s="22">
        <v>0.81277320861816404</v>
      </c>
      <c r="AT81" s="20">
        <v>111.5</v>
      </c>
      <c r="AU81" s="20">
        <v>4.8</v>
      </c>
    </row>
    <row r="82" spans="1:47" ht="16" customHeight="1" x14ac:dyDescent="0.2">
      <c r="A82" s="18" t="s">
        <v>194</v>
      </c>
      <c r="B82" s="19">
        <v>1902643.16268467</v>
      </c>
      <c r="C82" s="19">
        <v>1058205.68448394</v>
      </c>
      <c r="D82" s="19">
        <v>395398.813789015</v>
      </c>
      <c r="E82" s="19">
        <v>417838.53427128098</v>
      </c>
      <c r="F82" s="19">
        <v>350667.03358810302</v>
      </c>
      <c r="G82" s="19">
        <v>339440.72105709597</v>
      </c>
      <c r="H82" s="19">
        <v>392636.61817080999</v>
      </c>
      <c r="I82" s="20">
        <v>84.5</v>
      </c>
      <c r="J82" s="21">
        <v>53.142092929132403</v>
      </c>
      <c r="K82" s="21">
        <v>53.610858011521103</v>
      </c>
      <c r="L82" s="21">
        <v>49.960861368908603</v>
      </c>
      <c r="M82" s="21">
        <v>58.587213995373297</v>
      </c>
      <c r="N82" s="21">
        <v>75.380776843447705</v>
      </c>
      <c r="O82" s="21">
        <v>78.612243225256194</v>
      </c>
      <c r="P82" s="21">
        <v>56.869238006431502</v>
      </c>
      <c r="Q82" s="21">
        <v>53.888107319793001</v>
      </c>
      <c r="R82" s="21">
        <v>17.386666666666699</v>
      </c>
      <c r="S82" s="21">
        <v>75.761128137207294</v>
      </c>
      <c r="T82" s="22">
        <v>43.09</v>
      </c>
      <c r="U82" s="19">
        <v>520192.62067207001</v>
      </c>
      <c r="V82" s="19">
        <v>143811.16676765299</v>
      </c>
      <c r="W82" s="19">
        <v>132065.09120973101</v>
      </c>
      <c r="X82" s="19">
        <v>108818.437065224</v>
      </c>
      <c r="Y82" s="21">
        <v>8.1677075723196797</v>
      </c>
      <c r="Z82" s="19">
        <v>56695933.323060997</v>
      </c>
      <c r="AA82" s="22">
        <v>0.27340524533148203</v>
      </c>
      <c r="AB82" s="22">
        <v>3.9389108499986598</v>
      </c>
      <c r="AC82" s="20">
        <v>14.4068591120958</v>
      </c>
      <c r="AD82" s="20">
        <v>33.558723724383498</v>
      </c>
      <c r="AE82" s="20">
        <v>1.2272279759401501</v>
      </c>
      <c r="AF82" s="20">
        <v>0.92721372276309699</v>
      </c>
      <c r="AG82" s="20">
        <v>10.102045947000001</v>
      </c>
      <c r="AH82" s="20">
        <v>9.6047803333333306</v>
      </c>
      <c r="AI82" s="21">
        <f t="shared" si="1"/>
        <v>-0.49726561366666999</v>
      </c>
      <c r="AJ82" s="21">
        <v>935497</v>
      </c>
      <c r="AK82" s="21">
        <v>2303555</v>
      </c>
      <c r="AL82" s="21">
        <v>2534023</v>
      </c>
      <c r="AM82" s="20">
        <v>341.85469999999998</v>
      </c>
      <c r="AN82" s="19">
        <v>6619508.3676758902</v>
      </c>
      <c r="AO82" s="21">
        <v>9919.2279999999992</v>
      </c>
      <c r="AP82" s="21">
        <v>124.6</v>
      </c>
      <c r="AQ82" s="21">
        <v>112.4</v>
      </c>
      <c r="AR82" s="22">
        <v>8.8000000000000005E-3</v>
      </c>
      <c r="AS82" s="22">
        <v>0.815815226236979</v>
      </c>
      <c r="AT82" s="20">
        <v>114</v>
      </c>
      <c r="AU82" s="20">
        <v>5.9</v>
      </c>
    </row>
    <row r="83" spans="1:47" ht="16" customHeight="1" x14ac:dyDescent="0.2">
      <c r="A83" s="18" t="s">
        <v>195</v>
      </c>
      <c r="B83" s="19">
        <v>1922469.63172758</v>
      </c>
      <c r="C83" s="19">
        <v>1069175.98995294</v>
      </c>
      <c r="D83" s="19">
        <v>395465.04875575902</v>
      </c>
      <c r="E83" s="19">
        <v>427666.25753982703</v>
      </c>
      <c r="F83" s="19">
        <v>356605.92254641198</v>
      </c>
      <c r="G83" s="19">
        <v>349906.95645667298</v>
      </c>
      <c r="H83" s="19">
        <v>404117.76735983702</v>
      </c>
      <c r="I83" s="20">
        <v>84.7</v>
      </c>
      <c r="J83" s="21">
        <v>53.867026696085198</v>
      </c>
      <c r="K83" s="21">
        <v>54.201392825969201</v>
      </c>
      <c r="L83" s="21">
        <v>50.671854336515302</v>
      </c>
      <c r="M83" s="21">
        <v>59.308955212651803</v>
      </c>
      <c r="N83" s="21">
        <v>75.365846994762094</v>
      </c>
      <c r="O83" s="21">
        <v>78.107187029738796</v>
      </c>
      <c r="P83" s="21">
        <v>57.387608803287002</v>
      </c>
      <c r="Q83" s="21">
        <v>56.098450440707701</v>
      </c>
      <c r="R83" s="21">
        <v>19.16</v>
      </c>
      <c r="S83" s="21">
        <v>72.201133862756706</v>
      </c>
      <c r="T83" s="22">
        <v>44.09</v>
      </c>
      <c r="U83" s="19">
        <v>531920.19588641694</v>
      </c>
      <c r="V83" s="19">
        <v>144612.12280571301</v>
      </c>
      <c r="W83" s="19">
        <v>132952.879229354</v>
      </c>
      <c r="X83" s="19">
        <v>109615.21708928701</v>
      </c>
      <c r="Y83" s="21">
        <v>8.0624247470754806</v>
      </c>
      <c r="Z83" s="19">
        <v>56974082.1033611</v>
      </c>
      <c r="AA83" s="22">
        <v>0.27668587690949398</v>
      </c>
      <c r="AB83" s="22">
        <v>4.0008174247119097</v>
      </c>
      <c r="AC83" s="20">
        <v>14.4597818631003</v>
      </c>
      <c r="AD83" s="20">
        <v>33.742880284405103</v>
      </c>
      <c r="AE83" s="20">
        <v>1.2786015351812301</v>
      </c>
      <c r="AF83" s="20">
        <v>0.88660342228920996</v>
      </c>
      <c r="AG83" s="20">
        <v>11.071902127</v>
      </c>
      <c r="AH83" s="20">
        <v>10.086688000000001</v>
      </c>
      <c r="AI83" s="21">
        <f t="shared" si="1"/>
        <v>-0.985214126999999</v>
      </c>
      <c r="AJ83" s="21">
        <v>956837</v>
      </c>
      <c r="AK83" s="21">
        <v>2343345</v>
      </c>
      <c r="AL83" s="21">
        <v>2593728</v>
      </c>
      <c r="AM83" s="20">
        <v>345.40170000000001</v>
      </c>
      <c r="AN83" s="19">
        <v>6668088.7062155297</v>
      </c>
      <c r="AO83" s="21">
        <v>9938.7669999999998</v>
      </c>
      <c r="AP83" s="21">
        <v>125.867</v>
      </c>
      <c r="AQ83" s="21">
        <v>112.833</v>
      </c>
      <c r="AR83" s="22">
        <v>5.5500000000000001E-2</v>
      </c>
      <c r="AS83" s="22">
        <v>0.81900062561035203</v>
      </c>
      <c r="AT83" s="20">
        <v>113.2</v>
      </c>
      <c r="AU83" s="20">
        <v>4.5999999999999996</v>
      </c>
    </row>
    <row r="84" spans="1:47" ht="16" customHeight="1" x14ac:dyDescent="0.2">
      <c r="A84" s="18" t="s">
        <v>196</v>
      </c>
      <c r="B84" s="19">
        <v>1948532.9361043801</v>
      </c>
      <c r="C84" s="19">
        <v>1077916.7254008399</v>
      </c>
      <c r="D84" s="19">
        <v>401680.00217646</v>
      </c>
      <c r="E84" s="19">
        <v>440340.54866524797</v>
      </c>
      <c r="F84" s="19">
        <v>368262.78806378</v>
      </c>
      <c r="G84" s="19">
        <v>360188.62295898102</v>
      </c>
      <c r="H84" s="19">
        <v>415003.08997659601</v>
      </c>
      <c r="I84" s="20">
        <v>84.8</v>
      </c>
      <c r="J84" s="21">
        <v>54.633353347745803</v>
      </c>
      <c r="K84" s="21">
        <v>54.718657744775697</v>
      </c>
      <c r="L84" s="21">
        <v>51.501938967369398</v>
      </c>
      <c r="M84" s="21">
        <v>60.149320433328903</v>
      </c>
      <c r="N84" s="21">
        <v>75.060126686335593</v>
      </c>
      <c r="O84" s="21">
        <v>77.653726529737696</v>
      </c>
      <c r="P84" s="21">
        <v>58.106758019778397</v>
      </c>
      <c r="Q84" s="21">
        <v>56.255624476128702</v>
      </c>
      <c r="R84" s="21">
        <v>19.816666666666698</v>
      </c>
      <c r="S84" s="21">
        <v>70.050303989384801</v>
      </c>
      <c r="T84" s="22">
        <v>45.64</v>
      </c>
      <c r="U84" s="19">
        <v>547665.06127993797</v>
      </c>
      <c r="V84" s="19">
        <v>145303.258205002</v>
      </c>
      <c r="W84" s="19">
        <v>133785.78613400101</v>
      </c>
      <c r="X84" s="19">
        <v>110469.565395007</v>
      </c>
      <c r="Y84" s="21">
        <v>7.9265064068637603</v>
      </c>
      <c r="Z84" s="19">
        <v>57218699.695315599</v>
      </c>
      <c r="AA84" s="22">
        <v>0.28106533440223103</v>
      </c>
      <c r="AB84" s="22">
        <v>4.0935967646921201</v>
      </c>
      <c r="AC84" s="20">
        <v>14.564573654728299</v>
      </c>
      <c r="AD84" s="20">
        <v>34.054128221720298</v>
      </c>
      <c r="AE84" s="20">
        <v>1.3323379469921</v>
      </c>
      <c r="AF84" s="20">
        <v>0.82953131480713405</v>
      </c>
      <c r="AG84" s="20">
        <v>11.225662452</v>
      </c>
      <c r="AH84" s="20">
        <v>10.808543333333301</v>
      </c>
      <c r="AI84" s="21">
        <f t="shared" si="1"/>
        <v>-0.41711911866669915</v>
      </c>
      <c r="AJ84" s="21">
        <v>965508</v>
      </c>
      <c r="AK84" s="21">
        <v>2371264</v>
      </c>
      <c r="AL84" s="21">
        <v>2644762</v>
      </c>
      <c r="AM84" s="20">
        <v>336.52890000000002</v>
      </c>
      <c r="AN84" s="19">
        <v>6723423.21957382</v>
      </c>
      <c r="AO84" s="21">
        <v>10047.386</v>
      </c>
      <c r="AP84" s="21">
        <v>128.03299999999999</v>
      </c>
      <c r="AQ84" s="21">
        <v>114.5</v>
      </c>
      <c r="AR84" s="22">
        <v>4.1099999999999998E-2</v>
      </c>
      <c r="AS84" s="22">
        <v>0.67659271240234398</v>
      </c>
      <c r="AT84" s="20">
        <v>113.2</v>
      </c>
      <c r="AU84" s="20">
        <v>4.4000000000000004</v>
      </c>
    </row>
    <row r="85" spans="1:47" ht="16" customHeight="1" x14ac:dyDescent="0.2">
      <c r="A85" s="18" t="s">
        <v>197</v>
      </c>
      <c r="B85" s="19">
        <v>1957430.8632572601</v>
      </c>
      <c r="C85" s="19">
        <v>1084833.9511490101</v>
      </c>
      <c r="D85" s="19">
        <v>404774.39910115302</v>
      </c>
      <c r="E85" s="19">
        <v>437827.58567128301</v>
      </c>
      <c r="F85" s="19">
        <v>368348.800081808</v>
      </c>
      <c r="G85" s="19">
        <v>364717.68886672403</v>
      </c>
      <c r="H85" s="19">
        <v>419176.41075216699</v>
      </c>
      <c r="I85" s="20">
        <v>84.2</v>
      </c>
      <c r="J85" s="21">
        <v>55.413030583385499</v>
      </c>
      <c r="K85" s="21">
        <v>55.347798806267903</v>
      </c>
      <c r="L85" s="21">
        <v>52.486874015903297</v>
      </c>
      <c r="M85" s="21">
        <v>60.9876721501495</v>
      </c>
      <c r="N85" s="21">
        <v>75.291821772384907</v>
      </c>
      <c r="O85" s="21">
        <v>76.7504880185611</v>
      </c>
      <c r="P85" s="21">
        <v>58.605873635184601</v>
      </c>
      <c r="Q85" s="21">
        <v>50.109052819109202</v>
      </c>
      <c r="R85" s="21">
        <v>16.02</v>
      </c>
      <c r="S85" s="21">
        <v>72.757382968010404</v>
      </c>
      <c r="T85" s="22">
        <v>46.97</v>
      </c>
      <c r="U85" s="19">
        <v>561208.98400593305</v>
      </c>
      <c r="V85" s="19">
        <v>145809.527715109</v>
      </c>
      <c r="W85" s="19">
        <v>134371.849323929</v>
      </c>
      <c r="X85" s="19">
        <v>111116.33989901999</v>
      </c>
      <c r="Y85" s="21">
        <v>7.84425995366212</v>
      </c>
      <c r="Z85" s="19">
        <v>57346120.198203698</v>
      </c>
      <c r="AA85" s="22">
        <v>0.28670692515395102</v>
      </c>
      <c r="AB85" s="22">
        <v>4.1765368775496396</v>
      </c>
      <c r="AC85" s="20">
        <v>14.567268911649</v>
      </c>
      <c r="AD85" s="20">
        <v>34.1336232772478</v>
      </c>
      <c r="AE85" s="20">
        <v>1.3453389672351901</v>
      </c>
      <c r="AF85" s="20">
        <v>0.81786210844851603</v>
      </c>
      <c r="AG85" s="20">
        <v>10.618018136</v>
      </c>
      <c r="AH85" s="20">
        <v>10.7921866666667</v>
      </c>
      <c r="AI85" s="21">
        <f t="shared" si="1"/>
        <v>0.17416853066669979</v>
      </c>
      <c r="AJ85" s="21">
        <v>1006819</v>
      </c>
      <c r="AK85" s="21">
        <v>2494707</v>
      </c>
      <c r="AL85" s="21">
        <v>2786501</v>
      </c>
      <c r="AM85" s="20">
        <v>349.76549999999997</v>
      </c>
      <c r="AN85" s="19">
        <v>6781492.2621063096</v>
      </c>
      <c r="AO85" s="21">
        <v>10083.855</v>
      </c>
      <c r="AP85" s="21">
        <v>129.30000000000001</v>
      </c>
      <c r="AQ85" s="21">
        <v>114.333</v>
      </c>
      <c r="AR85" s="22">
        <v>1.0500000000000001E-2</v>
      </c>
      <c r="AS85" s="22">
        <v>0.73048248291015605</v>
      </c>
      <c r="AT85" s="20">
        <v>112</v>
      </c>
      <c r="AU85" s="20">
        <v>3.2</v>
      </c>
    </row>
    <row r="86" spans="1:47" ht="16" customHeight="1" x14ac:dyDescent="0.2">
      <c r="A86" s="18" t="s">
        <v>198</v>
      </c>
      <c r="B86" s="19">
        <v>1975585.06527647</v>
      </c>
      <c r="C86" s="19">
        <v>1088459.45488849</v>
      </c>
      <c r="D86" s="19">
        <v>406903.74501555401</v>
      </c>
      <c r="E86" s="19">
        <v>439339.882674839</v>
      </c>
      <c r="F86" s="19">
        <v>381678.13746194699</v>
      </c>
      <c r="G86" s="19">
        <v>370603.58882584597</v>
      </c>
      <c r="H86" s="19">
        <v>426297.03258126701</v>
      </c>
      <c r="I86" s="20">
        <v>84.1</v>
      </c>
      <c r="J86" s="21">
        <v>55.925939383123598</v>
      </c>
      <c r="K86" s="21">
        <v>56.0320692149051</v>
      </c>
      <c r="L86" s="21">
        <v>53.374099975876398</v>
      </c>
      <c r="M86" s="21">
        <v>61.523263685651699</v>
      </c>
      <c r="N86" s="21">
        <v>75.266428356361999</v>
      </c>
      <c r="O86" s="21">
        <v>77.024604165710002</v>
      </c>
      <c r="P86" s="21">
        <v>59.1467298767786</v>
      </c>
      <c r="Q86" s="21">
        <v>68.445347321007304</v>
      </c>
      <c r="R86" s="21">
        <v>26.413333333333298</v>
      </c>
      <c r="S86" s="21">
        <v>74.166547368262101</v>
      </c>
      <c r="T86" s="22">
        <v>48.36</v>
      </c>
      <c r="U86" s="19">
        <v>571269.98058518104</v>
      </c>
      <c r="V86" s="19">
        <v>146293.29590968401</v>
      </c>
      <c r="W86" s="19">
        <v>134904.734231371</v>
      </c>
      <c r="X86" s="19">
        <v>111614.575425563</v>
      </c>
      <c r="Y86" s="21">
        <v>7.7847461207952096</v>
      </c>
      <c r="Z86" s="19">
        <v>57450822.123975404</v>
      </c>
      <c r="AA86" s="22">
        <v>0.28916496212995801</v>
      </c>
      <c r="AB86" s="22">
        <v>4.2346177385102903</v>
      </c>
      <c r="AC86" s="20">
        <v>14.644297522488699</v>
      </c>
      <c r="AD86" s="20">
        <v>34.387411567640903</v>
      </c>
      <c r="AE86" s="20">
        <v>1.3455786933648799</v>
      </c>
      <c r="AF86" s="20">
        <v>0.77130736598534499</v>
      </c>
      <c r="AG86" s="20">
        <v>10.536336843999999</v>
      </c>
      <c r="AH86" s="20">
        <v>10.88659</v>
      </c>
      <c r="AI86" s="21">
        <f t="shared" si="1"/>
        <v>0.35025315600000084</v>
      </c>
      <c r="AJ86" s="21">
        <v>1028301</v>
      </c>
      <c r="AK86" s="21">
        <v>2539282</v>
      </c>
      <c r="AL86" s="21">
        <v>2846434</v>
      </c>
      <c r="AM86" s="20">
        <v>335.51589999999999</v>
      </c>
      <c r="AN86" s="19">
        <v>6775610.83524347</v>
      </c>
      <c r="AO86" s="21">
        <v>10090.569</v>
      </c>
      <c r="AP86" s="21">
        <v>131.53299999999999</v>
      </c>
      <c r="AQ86" s="21">
        <v>116.467</v>
      </c>
      <c r="AR86" s="22">
        <v>6.54E-2</v>
      </c>
      <c r="AS86" s="22">
        <v>1.3640849049886099</v>
      </c>
      <c r="AT86" s="20">
        <v>110.4</v>
      </c>
      <c r="AU86" s="20">
        <v>1.4</v>
      </c>
    </row>
    <row r="87" spans="1:47" ht="16" customHeight="1" x14ac:dyDescent="0.2">
      <c r="A87" s="18" t="s">
        <v>199</v>
      </c>
      <c r="B87" s="19">
        <v>1986764.2349747</v>
      </c>
      <c r="C87" s="19">
        <v>1098055.66365817</v>
      </c>
      <c r="D87" s="19">
        <v>409373.87438619998</v>
      </c>
      <c r="E87" s="19">
        <v>442650.53441034799</v>
      </c>
      <c r="F87" s="19">
        <v>394811.82233644999</v>
      </c>
      <c r="G87" s="19">
        <v>382411.21474996198</v>
      </c>
      <c r="H87" s="19">
        <v>427968.99719362601</v>
      </c>
      <c r="I87" s="20">
        <v>84.5</v>
      </c>
      <c r="J87" s="21">
        <v>56.584733042990301</v>
      </c>
      <c r="K87" s="21">
        <v>56.848826200301602</v>
      </c>
      <c r="L87" s="21">
        <v>54.138846056680201</v>
      </c>
      <c r="M87" s="21">
        <v>62.110873270637597</v>
      </c>
      <c r="N87" s="21">
        <v>76.114015387639995</v>
      </c>
      <c r="O87" s="21">
        <v>78.376581787566394</v>
      </c>
      <c r="P87" s="21">
        <v>59.910068168804003</v>
      </c>
      <c r="Q87" s="21">
        <v>75.975280142866595</v>
      </c>
      <c r="R87" s="21">
        <v>32.453333333333298</v>
      </c>
      <c r="S87" s="21">
        <v>70.754886189097107</v>
      </c>
      <c r="T87" s="22">
        <v>48.93</v>
      </c>
      <c r="U87" s="19">
        <v>584517.31861349696</v>
      </c>
      <c r="V87" s="19">
        <v>146933.59101410399</v>
      </c>
      <c r="W87" s="19">
        <v>135514.177888657</v>
      </c>
      <c r="X87" s="19">
        <v>112309.87875336299</v>
      </c>
      <c r="Y87" s="21">
        <v>7.7718192597301403</v>
      </c>
      <c r="Z87" s="19">
        <v>57609179.426602297</v>
      </c>
      <c r="AA87" s="22">
        <v>0.29420567791776298</v>
      </c>
      <c r="AB87" s="22">
        <v>4.3133296288286198</v>
      </c>
      <c r="AC87" s="20">
        <v>14.660932648737999</v>
      </c>
      <c r="AD87" s="20">
        <v>34.486938622445798</v>
      </c>
      <c r="AE87" s="20">
        <v>1.3667082742516601</v>
      </c>
      <c r="AF87" s="20">
        <v>0.73174301185423696</v>
      </c>
      <c r="AG87" s="20">
        <v>11.046291095999999</v>
      </c>
      <c r="AH87" s="20">
        <v>10.9777133333333</v>
      </c>
      <c r="AI87" s="21">
        <f t="shared" si="1"/>
        <v>-6.8577762666699016E-2</v>
      </c>
      <c r="AJ87" s="21">
        <v>1058884</v>
      </c>
      <c r="AK87" s="21">
        <v>2573883</v>
      </c>
      <c r="AL87" s="21">
        <v>2907362</v>
      </c>
      <c r="AM87" s="20">
        <v>317.08449999999999</v>
      </c>
      <c r="AN87" s="19">
        <v>6754061.6882453496</v>
      </c>
      <c r="AO87" s="21">
        <v>9998.7039999999997</v>
      </c>
      <c r="AP87" s="21">
        <v>133.767</v>
      </c>
      <c r="AQ87" s="21">
        <v>119.867</v>
      </c>
      <c r="AR87" s="22">
        <v>8.5099999999999995E-2</v>
      </c>
      <c r="AS87" s="22">
        <v>1.24792627970378</v>
      </c>
      <c r="AT87" s="20">
        <v>105.3</v>
      </c>
      <c r="AU87" s="20">
        <v>-0.8</v>
      </c>
    </row>
    <row r="88" spans="1:47" ht="16" customHeight="1" x14ac:dyDescent="0.2">
      <c r="A88" s="18" t="s">
        <v>200</v>
      </c>
      <c r="B88" s="19">
        <v>2000493.9735517099</v>
      </c>
      <c r="C88" s="19">
        <v>1110118.25142843</v>
      </c>
      <c r="D88" s="19">
        <v>411714.76325359597</v>
      </c>
      <c r="E88" s="19">
        <v>442657.50755875901</v>
      </c>
      <c r="F88" s="19">
        <v>390627.92400720401</v>
      </c>
      <c r="G88" s="19">
        <v>385205.663307307</v>
      </c>
      <c r="H88" s="19">
        <v>441935.10122987698</v>
      </c>
      <c r="I88" s="20">
        <v>83.9</v>
      </c>
      <c r="J88" s="21">
        <v>57.350985041686897</v>
      </c>
      <c r="K88" s="21">
        <v>57.344211104974697</v>
      </c>
      <c r="L88" s="21">
        <v>54.498485077196698</v>
      </c>
      <c r="M88" s="21">
        <v>62.6702643838995</v>
      </c>
      <c r="N88" s="21">
        <v>76.114106821390905</v>
      </c>
      <c r="O88" s="21">
        <v>77.780171526593506</v>
      </c>
      <c r="P88" s="21">
        <v>60.523557385036199</v>
      </c>
      <c r="Q88" s="21">
        <v>57.068690660495797</v>
      </c>
      <c r="R88" s="21">
        <v>20.73</v>
      </c>
      <c r="S88" s="21">
        <v>67.936557389420699</v>
      </c>
      <c r="T88" s="22">
        <v>49.94</v>
      </c>
      <c r="U88" s="19">
        <v>593374.27189415996</v>
      </c>
      <c r="V88" s="19">
        <v>147515.475468366</v>
      </c>
      <c r="W88" s="19">
        <v>136065.81586517801</v>
      </c>
      <c r="X88" s="19">
        <v>112913.112498897</v>
      </c>
      <c r="Y88" s="21">
        <v>7.7616667450213397</v>
      </c>
      <c r="Z88" s="19">
        <v>57787126.333093002</v>
      </c>
      <c r="AA88" s="22">
        <v>0.296613876242112</v>
      </c>
      <c r="AB88" s="22">
        <v>4.36093568484615</v>
      </c>
      <c r="AC88" s="20">
        <v>14.702399429507899</v>
      </c>
      <c r="AD88" s="20">
        <v>34.618332844941797</v>
      </c>
      <c r="AE88" s="20">
        <v>1.3587913376235401</v>
      </c>
      <c r="AF88" s="20">
        <v>0.74554536643554803</v>
      </c>
      <c r="AG88" s="20">
        <v>11.096522687</v>
      </c>
      <c r="AH88" s="20">
        <v>10.55287</v>
      </c>
      <c r="AI88" s="21">
        <f t="shared" si="1"/>
        <v>-0.5436526869999998</v>
      </c>
      <c r="AJ88" s="21">
        <v>1059848</v>
      </c>
      <c r="AK88" s="21">
        <v>2601696</v>
      </c>
      <c r="AL88" s="21">
        <v>2954443</v>
      </c>
      <c r="AM88" s="20">
        <v>353.57130000000001</v>
      </c>
      <c r="AN88" s="19">
        <v>6749100.0187101997</v>
      </c>
      <c r="AO88" s="21">
        <v>9951.9159999999993</v>
      </c>
      <c r="AP88" s="21">
        <v>134.767</v>
      </c>
      <c r="AQ88" s="21">
        <v>117.467</v>
      </c>
      <c r="AR88" s="22">
        <v>0.18310000000000001</v>
      </c>
      <c r="AS88" s="22">
        <v>2.0406404622395802</v>
      </c>
      <c r="AT88" s="20">
        <v>100.6</v>
      </c>
      <c r="AU88" s="20">
        <v>-7.5</v>
      </c>
    </row>
    <row r="89" spans="1:47" ht="16" customHeight="1" x14ac:dyDescent="0.2">
      <c r="A89" s="18" t="s">
        <v>201</v>
      </c>
      <c r="B89" s="19">
        <v>2006436.20580868</v>
      </c>
      <c r="C89" s="19">
        <v>1119640.98633618</v>
      </c>
      <c r="D89" s="19">
        <v>417994.35274067498</v>
      </c>
      <c r="E89" s="19">
        <v>443641.294509753</v>
      </c>
      <c r="F89" s="19">
        <v>388358.54679575301</v>
      </c>
      <c r="G89" s="19">
        <v>386972.611568244</v>
      </c>
      <c r="H89" s="19">
        <v>443872.120818811</v>
      </c>
      <c r="I89" s="20">
        <v>82.6</v>
      </c>
      <c r="J89" s="21">
        <v>58.170224450960198</v>
      </c>
      <c r="K89" s="21">
        <v>58.130138607545902</v>
      </c>
      <c r="L89" s="21">
        <v>55.723199946302898</v>
      </c>
      <c r="M89" s="21">
        <v>63.656037684963103</v>
      </c>
      <c r="N89" s="21">
        <v>76.299479885958803</v>
      </c>
      <c r="O89" s="21">
        <v>77.885810760401597</v>
      </c>
      <c r="P89" s="21">
        <v>61.119653868382102</v>
      </c>
      <c r="Q89" s="21">
        <v>52.818561482662197</v>
      </c>
      <c r="R89" s="21">
        <v>18.8466666666667</v>
      </c>
      <c r="S89" s="21">
        <v>64.969895494458697</v>
      </c>
      <c r="T89" s="22">
        <v>51.07</v>
      </c>
      <c r="U89" s="19">
        <v>608475.62309653999</v>
      </c>
      <c r="V89" s="19">
        <v>147487.895076488</v>
      </c>
      <c r="W89" s="19">
        <v>135947.682480369</v>
      </c>
      <c r="X89" s="19">
        <v>112742.678767409</v>
      </c>
      <c r="Y89" s="21">
        <v>7.8245150831766104</v>
      </c>
      <c r="Z89" s="19">
        <v>57736809.783087</v>
      </c>
      <c r="AA89" s="22">
        <v>0.30326188359988099</v>
      </c>
      <c r="AB89" s="22">
        <v>4.47580725169336</v>
      </c>
      <c r="AC89" s="20">
        <v>14.7588849563392</v>
      </c>
      <c r="AD89" s="20">
        <v>34.751421378263203</v>
      </c>
      <c r="AE89" s="20">
        <v>1.2886236037250001</v>
      </c>
      <c r="AF89" s="20">
        <v>0.842034355001684</v>
      </c>
      <c r="AG89" s="20">
        <v>10.461557802</v>
      </c>
      <c r="AH89" s="20">
        <v>10.0518556666667</v>
      </c>
      <c r="AI89" s="21">
        <f t="shared" si="1"/>
        <v>-0.40970213533329947</v>
      </c>
      <c r="AJ89" s="21">
        <v>1073039</v>
      </c>
      <c r="AK89" s="21">
        <v>2639742</v>
      </c>
      <c r="AL89" s="21">
        <v>3003602</v>
      </c>
      <c r="AM89" s="20">
        <v>378.64769999999999</v>
      </c>
      <c r="AN89" s="19">
        <v>6744988.2430524398</v>
      </c>
      <c r="AO89" s="21">
        <v>10029.51</v>
      </c>
      <c r="AP89" s="21">
        <v>135.56700000000001</v>
      </c>
      <c r="AQ89" s="21">
        <v>116.3</v>
      </c>
      <c r="AR89" s="22">
        <v>3.9800000000000002E-2</v>
      </c>
      <c r="AS89" s="22">
        <v>0.78100880940755202</v>
      </c>
      <c r="AT89" s="20">
        <v>96.6</v>
      </c>
      <c r="AU89" s="20">
        <v>-10.8</v>
      </c>
    </row>
    <row r="90" spans="1:47" ht="16" customHeight="1" x14ac:dyDescent="0.2">
      <c r="A90" s="18" t="s">
        <v>202</v>
      </c>
      <c r="B90" s="19">
        <v>2005881.89064028</v>
      </c>
      <c r="C90" s="19">
        <v>1115940.7383671401</v>
      </c>
      <c r="D90" s="19">
        <v>423870.537644358</v>
      </c>
      <c r="E90" s="19">
        <v>442932.34418483998</v>
      </c>
      <c r="F90" s="19">
        <v>396672.63464376598</v>
      </c>
      <c r="G90" s="19">
        <v>393064.97435855801</v>
      </c>
      <c r="H90" s="19">
        <v>447776.19740363699</v>
      </c>
      <c r="I90" s="20">
        <v>81.8</v>
      </c>
      <c r="J90" s="21">
        <v>58.913298014632403</v>
      </c>
      <c r="K90" s="21">
        <v>59.080701037340901</v>
      </c>
      <c r="L90" s="21">
        <v>55.775346804034101</v>
      </c>
      <c r="M90" s="21">
        <v>64.430937379240902</v>
      </c>
      <c r="N90" s="21">
        <v>76.604955553946894</v>
      </c>
      <c r="O90" s="21">
        <v>78.639203307126806</v>
      </c>
      <c r="P90" s="21">
        <v>61.901553573253402</v>
      </c>
      <c r="Q90" s="21">
        <v>54.229401165855997</v>
      </c>
      <c r="R90" s="21">
        <v>19.89</v>
      </c>
      <c r="S90" s="21">
        <v>63.783230737135398</v>
      </c>
      <c r="T90" s="22">
        <v>52.12</v>
      </c>
      <c r="U90" s="19">
        <v>615438.89131743496</v>
      </c>
      <c r="V90" s="19">
        <v>147195.628714094</v>
      </c>
      <c r="W90" s="19">
        <v>135451.305505664</v>
      </c>
      <c r="X90" s="19">
        <v>112277.08979302899</v>
      </c>
      <c r="Y90" s="21">
        <v>7.9787173783817904</v>
      </c>
      <c r="Z90" s="19">
        <v>57555893.775979802</v>
      </c>
      <c r="AA90" s="22">
        <v>0.306817113305204</v>
      </c>
      <c r="AB90" s="22">
        <v>4.5436172727895796</v>
      </c>
      <c r="AC90" s="20">
        <v>14.8088782396889</v>
      </c>
      <c r="AD90" s="20">
        <v>34.851024961016499</v>
      </c>
      <c r="AE90" s="20">
        <v>1.2865034347838999</v>
      </c>
      <c r="AF90" s="20">
        <v>0.84976206662134601</v>
      </c>
      <c r="AG90" s="20">
        <v>10.505995789</v>
      </c>
      <c r="AH90" s="20">
        <v>10.1427933333333</v>
      </c>
      <c r="AI90" s="21">
        <f t="shared" si="1"/>
        <v>-0.36320245566670017</v>
      </c>
      <c r="AJ90" s="21">
        <v>1081506</v>
      </c>
      <c r="AK90" s="21">
        <v>2672023</v>
      </c>
      <c r="AL90" s="21">
        <v>3064203</v>
      </c>
      <c r="AM90" s="20">
        <v>385.64049999999997</v>
      </c>
      <c r="AN90" s="19">
        <v>6753707.6757096499</v>
      </c>
      <c r="AO90" s="21">
        <v>10080.195</v>
      </c>
      <c r="AP90" s="21">
        <v>136.6</v>
      </c>
      <c r="AQ90" s="21">
        <v>116.133</v>
      </c>
      <c r="AR90" s="22">
        <v>9.3799999999999994E-2</v>
      </c>
      <c r="AS90" s="22">
        <v>0.934581553141276</v>
      </c>
      <c r="AT90" s="20">
        <v>94.1</v>
      </c>
      <c r="AU90" s="20">
        <v>-11.5</v>
      </c>
    </row>
    <row r="91" spans="1:47" ht="16" customHeight="1" x14ac:dyDescent="0.2">
      <c r="A91" s="18" t="s">
        <v>203</v>
      </c>
      <c r="B91" s="19">
        <v>2024957.85106949</v>
      </c>
      <c r="C91" s="19">
        <v>1131682.9347792901</v>
      </c>
      <c r="D91" s="19">
        <v>428773.58222402498</v>
      </c>
      <c r="E91" s="19">
        <v>448889.80796609703</v>
      </c>
      <c r="F91" s="19">
        <v>403590.61453054898</v>
      </c>
      <c r="G91" s="19">
        <v>392206.65695526201</v>
      </c>
      <c r="H91" s="19">
        <v>461845.583916442</v>
      </c>
      <c r="I91" s="20">
        <v>81.900000000000006</v>
      </c>
      <c r="J91" s="21">
        <v>59.792214774848297</v>
      </c>
      <c r="K91" s="21">
        <v>59.901671192998599</v>
      </c>
      <c r="L91" s="21">
        <v>56.540560734235903</v>
      </c>
      <c r="M91" s="21">
        <v>64.766416665524901</v>
      </c>
      <c r="N91" s="21">
        <v>76.748217288772494</v>
      </c>
      <c r="O91" s="21">
        <v>78.061960637497904</v>
      </c>
      <c r="P91" s="21">
        <v>62.399618272661002</v>
      </c>
      <c r="Q91" s="21">
        <v>55.053393305526903</v>
      </c>
      <c r="R91" s="21">
        <v>20.5766666666667</v>
      </c>
      <c r="S91" s="21">
        <v>63.189898357646904</v>
      </c>
      <c r="T91" s="22">
        <v>52.76</v>
      </c>
      <c r="U91" s="19">
        <v>625412.61856621597</v>
      </c>
      <c r="V91" s="19">
        <v>147206.844482602</v>
      </c>
      <c r="W91" s="19">
        <v>135263.80939949799</v>
      </c>
      <c r="X91" s="19">
        <v>112160.270642344</v>
      </c>
      <c r="Y91" s="21">
        <v>8.1130976790387308</v>
      </c>
      <c r="Z91" s="19">
        <v>57501756.000475898</v>
      </c>
      <c r="AA91" s="22">
        <v>0.30885216610108801</v>
      </c>
      <c r="AB91" s="22">
        <v>4.6236507854002404</v>
      </c>
      <c r="AC91" s="20">
        <v>14.9704334075705</v>
      </c>
      <c r="AD91" s="20">
        <v>35.215582825900597</v>
      </c>
      <c r="AE91" s="20">
        <v>1.3210880072684299</v>
      </c>
      <c r="AF91" s="20">
        <v>0.79713033080908702</v>
      </c>
      <c r="AG91" s="20">
        <v>10.732214710999999</v>
      </c>
      <c r="AH91" s="20">
        <v>9.8941753333333295</v>
      </c>
      <c r="AI91" s="21">
        <f t="shared" si="1"/>
        <v>-0.83803937766666969</v>
      </c>
      <c r="AJ91" s="21">
        <v>1099507</v>
      </c>
      <c r="AK91" s="21">
        <v>2722085</v>
      </c>
      <c r="AL91" s="21">
        <v>3132988</v>
      </c>
      <c r="AM91" s="20">
        <v>387.12</v>
      </c>
      <c r="AN91" s="19">
        <v>6771859.3327203002</v>
      </c>
      <c r="AO91" s="21">
        <v>10115.329</v>
      </c>
      <c r="AP91" s="21">
        <v>137.733</v>
      </c>
      <c r="AQ91" s="21">
        <v>116.233</v>
      </c>
      <c r="AR91" s="22">
        <v>4.1500000000000002E-2</v>
      </c>
      <c r="AS91" s="22">
        <v>0.85153032938639295</v>
      </c>
      <c r="AT91" s="20">
        <v>94</v>
      </c>
      <c r="AU91" s="20">
        <v>-12.1</v>
      </c>
    </row>
    <row r="92" spans="1:47" ht="16" customHeight="1" x14ac:dyDescent="0.2">
      <c r="A92" s="18" t="s">
        <v>204</v>
      </c>
      <c r="B92" s="19">
        <v>2055525.6726963399</v>
      </c>
      <c r="C92" s="19">
        <v>1138537.96458918</v>
      </c>
      <c r="D92" s="19">
        <v>431357.74423949397</v>
      </c>
      <c r="E92" s="19">
        <v>456961.638800541</v>
      </c>
      <c r="F92" s="19">
        <v>409416.11579419102</v>
      </c>
      <c r="G92" s="19">
        <v>404065.37545399403</v>
      </c>
      <c r="H92" s="19">
        <v>476541.320354792</v>
      </c>
      <c r="I92" s="20">
        <v>81.5</v>
      </c>
      <c r="J92" s="21">
        <v>60.2364149620566</v>
      </c>
      <c r="K92" s="21">
        <v>60.440961201378997</v>
      </c>
      <c r="L92" s="21">
        <v>57.117693184818499</v>
      </c>
      <c r="M92" s="21">
        <v>65.051978118456802</v>
      </c>
      <c r="N92" s="21">
        <v>76.563380897016501</v>
      </c>
      <c r="O92" s="21">
        <v>77.548986530212105</v>
      </c>
      <c r="P92" s="21">
        <v>63.063435411329401</v>
      </c>
      <c r="Q92" s="21">
        <v>51.447820421318298</v>
      </c>
      <c r="R92" s="21">
        <v>17.946666666666701</v>
      </c>
      <c r="S92" s="21">
        <v>63.783230737135398</v>
      </c>
      <c r="T92" s="22">
        <v>53.14</v>
      </c>
      <c r="U92" s="19">
        <v>637862.51284894999</v>
      </c>
      <c r="V92" s="19">
        <v>147223.754127391</v>
      </c>
      <c r="W92" s="19">
        <v>135133.754296956</v>
      </c>
      <c r="X92" s="19">
        <v>111940.88645288799</v>
      </c>
      <c r="Y92" s="21">
        <v>8.2119899075347806</v>
      </c>
      <c r="Z92" s="19">
        <v>57431576.283818103</v>
      </c>
      <c r="AA92" s="22">
        <v>0.31031600398949599</v>
      </c>
      <c r="AB92" s="22">
        <v>4.7202308273568097</v>
      </c>
      <c r="AC92" s="20">
        <v>15.2110454074956</v>
      </c>
      <c r="AD92" s="20">
        <v>35.790862896366399</v>
      </c>
      <c r="AE92" s="20">
        <v>1.3273884974816901</v>
      </c>
      <c r="AF92" s="20">
        <v>0.79201647394265795</v>
      </c>
      <c r="AG92" s="20">
        <v>10.849247498</v>
      </c>
      <c r="AH92" s="20">
        <v>9.5798579999999998</v>
      </c>
      <c r="AI92" s="21">
        <f t="shared" si="1"/>
        <v>-1.2693894980000007</v>
      </c>
      <c r="AJ92" s="21">
        <v>1100845</v>
      </c>
      <c r="AK92" s="21">
        <v>2747609</v>
      </c>
      <c r="AL92" s="21">
        <v>3174957</v>
      </c>
      <c r="AM92" s="20">
        <v>412.01299999999998</v>
      </c>
      <c r="AN92" s="19">
        <v>6808181.8875232199</v>
      </c>
      <c r="AO92" s="21">
        <v>10236.434999999999</v>
      </c>
      <c r="AP92" s="21">
        <v>138.667</v>
      </c>
      <c r="AQ92" s="21">
        <v>115.9</v>
      </c>
      <c r="AR92" s="22">
        <v>9.1200000000000003E-2</v>
      </c>
      <c r="AS92" s="22">
        <v>0.77776265462239602</v>
      </c>
      <c r="AT92" s="20">
        <v>92.8</v>
      </c>
      <c r="AU92" s="20">
        <v>-12.8</v>
      </c>
    </row>
    <row r="93" spans="1:47" ht="16" customHeight="1" x14ac:dyDescent="0.2">
      <c r="A93" s="18" t="s">
        <v>205</v>
      </c>
      <c r="B93" s="19">
        <v>2039835.32578091</v>
      </c>
      <c r="C93" s="19">
        <v>1139832.0082747201</v>
      </c>
      <c r="D93" s="19">
        <v>431758.06531036203</v>
      </c>
      <c r="E93" s="19">
        <v>450250.698178766</v>
      </c>
      <c r="F93" s="19">
        <v>406872.15448656201</v>
      </c>
      <c r="G93" s="19">
        <v>402647.82551205199</v>
      </c>
      <c r="H93" s="19">
        <v>473138.66372329002</v>
      </c>
      <c r="I93" s="20">
        <v>79.3</v>
      </c>
      <c r="J93" s="21">
        <v>60.798521812109897</v>
      </c>
      <c r="K93" s="21">
        <v>61.024084251626498</v>
      </c>
      <c r="L93" s="21">
        <v>57.7886766936874</v>
      </c>
      <c r="M93" s="21">
        <v>65.331555653937798</v>
      </c>
      <c r="N93" s="21">
        <v>76.790919628631798</v>
      </c>
      <c r="O93" s="21">
        <v>77.502238463935498</v>
      </c>
      <c r="P93" s="21">
        <v>63.705368091710497</v>
      </c>
      <c r="Q93" s="21">
        <v>54.872685337164697</v>
      </c>
      <c r="R93" s="21">
        <v>19.989999999999998</v>
      </c>
      <c r="S93" s="21">
        <v>64.487812936847803</v>
      </c>
      <c r="T93" s="22">
        <v>53.74</v>
      </c>
      <c r="U93" s="19">
        <v>644132.70980488404</v>
      </c>
      <c r="V93" s="19">
        <v>147349.164350996</v>
      </c>
      <c r="W93" s="19">
        <v>134925.66613288701</v>
      </c>
      <c r="X93" s="19">
        <v>111808.038238871</v>
      </c>
      <c r="Y93" s="21">
        <v>8.4313326599639407</v>
      </c>
      <c r="Z93" s="19">
        <v>57264705.405789599</v>
      </c>
      <c r="AA93" s="22">
        <v>0.31577681867936502</v>
      </c>
      <c r="AB93" s="22">
        <v>4.7739820618745998</v>
      </c>
      <c r="AC93" s="20">
        <v>15.118215712731001</v>
      </c>
      <c r="AD93" s="20">
        <v>35.621161609515298</v>
      </c>
      <c r="AE93" s="20">
        <v>1.3303699288252</v>
      </c>
      <c r="AF93" s="20">
        <v>0.78628715206793498</v>
      </c>
      <c r="AG93" s="20">
        <v>10.979088303999999</v>
      </c>
      <c r="AH93" s="20">
        <v>9.67607033333333</v>
      </c>
      <c r="AI93" s="21">
        <f t="shared" si="1"/>
        <v>-1.3030179706666694</v>
      </c>
      <c r="AJ93" s="21">
        <v>1109260</v>
      </c>
      <c r="AK93" s="21">
        <v>2784130</v>
      </c>
      <c r="AL93" s="21">
        <v>3249564</v>
      </c>
      <c r="AM93" s="20">
        <v>410.28370000000001</v>
      </c>
      <c r="AN93" s="19">
        <v>6816086.7449759701</v>
      </c>
      <c r="AO93" s="21">
        <v>10347.429</v>
      </c>
      <c r="AP93" s="21">
        <v>139.733</v>
      </c>
      <c r="AQ93" s="21">
        <v>117.167</v>
      </c>
      <c r="AR93" s="22">
        <v>4.9200000000000001E-2</v>
      </c>
      <c r="AS93" s="22">
        <v>0.80076362609863305</v>
      </c>
      <c r="AT93" s="20">
        <v>89.8</v>
      </c>
      <c r="AU93" s="20">
        <v>-14.5</v>
      </c>
    </row>
    <row r="94" spans="1:47" ht="16" customHeight="1" x14ac:dyDescent="0.2">
      <c r="A94" s="18" t="s">
        <v>206</v>
      </c>
      <c r="B94" s="19">
        <v>2034123.2008165801</v>
      </c>
      <c r="C94" s="19">
        <v>1137764.3433880501</v>
      </c>
      <c r="D94" s="19">
        <v>435515.79596399999</v>
      </c>
      <c r="E94" s="19">
        <v>441586.95180108002</v>
      </c>
      <c r="F94" s="19">
        <v>406746.29177160998</v>
      </c>
      <c r="G94" s="19">
        <v>400022.89727936802</v>
      </c>
      <c r="H94" s="19">
        <v>468604.93460996699</v>
      </c>
      <c r="I94" s="20">
        <v>79.400000000000006</v>
      </c>
      <c r="J94" s="21">
        <v>61.3125772168681</v>
      </c>
      <c r="K94" s="21">
        <v>61.480523198863999</v>
      </c>
      <c r="L94" s="21">
        <v>58.305044311739003</v>
      </c>
      <c r="M94" s="21">
        <v>65.736338990705093</v>
      </c>
      <c r="N94" s="21">
        <v>76.719211136497506</v>
      </c>
      <c r="O94" s="21">
        <v>77.205087952533802</v>
      </c>
      <c r="P94" s="21">
        <v>64.012141409365896</v>
      </c>
      <c r="Q94" s="21">
        <v>54.988292692309301</v>
      </c>
      <c r="R94" s="21">
        <v>20.0833333333333</v>
      </c>
      <c r="S94" s="21">
        <v>64.747395852357201</v>
      </c>
      <c r="T94" s="22">
        <v>54.31</v>
      </c>
      <c r="U94" s="19">
        <v>654788.27178749198</v>
      </c>
      <c r="V94" s="19">
        <v>147183.06498284699</v>
      </c>
      <c r="W94" s="19">
        <v>134277.55820521599</v>
      </c>
      <c r="X94" s="19">
        <v>111196.337816128</v>
      </c>
      <c r="Y94" s="21">
        <v>8.7683367506542194</v>
      </c>
      <c r="Z94" s="19">
        <v>56868959.297528699</v>
      </c>
      <c r="AA94" s="22">
        <v>0.32190197305877699</v>
      </c>
      <c r="AB94" s="22">
        <v>4.87637905052443</v>
      </c>
      <c r="AC94" s="20">
        <v>15.1486460433532</v>
      </c>
      <c r="AD94" s="20">
        <v>35.768602519599398</v>
      </c>
      <c r="AE94" s="20">
        <v>1.3831401197397899</v>
      </c>
      <c r="AF94" s="20">
        <v>0.72155278158597302</v>
      </c>
      <c r="AG94" s="20">
        <v>11.928408989999999</v>
      </c>
      <c r="AH94" s="20">
        <v>10.052103333333299</v>
      </c>
      <c r="AI94" s="21">
        <f t="shared" si="1"/>
        <v>-1.8763056566667</v>
      </c>
      <c r="AJ94" s="21">
        <v>1128821</v>
      </c>
      <c r="AK94" s="21">
        <v>2836589</v>
      </c>
      <c r="AL94" s="21">
        <v>3332285</v>
      </c>
      <c r="AM94" s="20">
        <v>417.08330000000001</v>
      </c>
      <c r="AN94" s="19">
        <v>6846166.2113886103</v>
      </c>
      <c r="AO94" s="21">
        <v>10449.673000000001</v>
      </c>
      <c r="AP94" s="21">
        <v>140.80000000000001</v>
      </c>
      <c r="AQ94" s="21">
        <v>117.867</v>
      </c>
      <c r="AR94" s="22">
        <v>0.22359999999999999</v>
      </c>
      <c r="AS94" s="22">
        <v>0.71220942179362001</v>
      </c>
      <c r="AT94" s="20">
        <v>86.1</v>
      </c>
      <c r="AU94" s="20">
        <v>-17.7</v>
      </c>
    </row>
    <row r="95" spans="1:47" ht="16" customHeight="1" x14ac:dyDescent="0.2">
      <c r="A95" s="18" t="s">
        <v>207</v>
      </c>
      <c r="B95" s="19">
        <v>2030055.7972111299</v>
      </c>
      <c r="C95" s="19">
        <v>1147144.6454332301</v>
      </c>
      <c r="D95" s="19">
        <v>437947.14559031301</v>
      </c>
      <c r="E95" s="19">
        <v>437847.85073967499</v>
      </c>
      <c r="F95" s="19">
        <v>405979.82619919599</v>
      </c>
      <c r="G95" s="19">
        <v>399089.44110054302</v>
      </c>
      <c r="H95" s="19">
        <v>474540.48952761199</v>
      </c>
      <c r="I95" s="20">
        <v>77.5</v>
      </c>
      <c r="J95" s="21">
        <v>61.861820575053699</v>
      </c>
      <c r="K95" s="21">
        <v>62.1194905720794</v>
      </c>
      <c r="L95" s="21">
        <v>58.935722287552501</v>
      </c>
      <c r="M95" s="21">
        <v>66.097221261374898</v>
      </c>
      <c r="N95" s="21">
        <v>76.948403111261797</v>
      </c>
      <c r="O95" s="21">
        <v>77.988571855058595</v>
      </c>
      <c r="P95" s="21">
        <v>64.439827404072801</v>
      </c>
      <c r="Q95" s="21">
        <v>52.418794621150099</v>
      </c>
      <c r="R95" s="21">
        <v>19.203333333333301</v>
      </c>
      <c r="S95" s="21">
        <v>61.7807339582221</v>
      </c>
      <c r="T95" s="22">
        <v>54.3</v>
      </c>
      <c r="U95" s="19">
        <v>654380.66915134701</v>
      </c>
      <c r="V95" s="19">
        <v>147004.886441426</v>
      </c>
      <c r="W95" s="19">
        <v>133627.282692504</v>
      </c>
      <c r="X95" s="19">
        <v>110705.41735097</v>
      </c>
      <c r="Y95" s="21">
        <v>9.1001082159623792</v>
      </c>
      <c r="Z95" s="19">
        <v>56461028.032213502</v>
      </c>
      <c r="AA95" s="22">
        <v>0.32234614932768302</v>
      </c>
      <c r="AB95" s="22">
        <v>4.8970588637739096</v>
      </c>
      <c r="AC95" s="20">
        <v>15.1919260521266</v>
      </c>
      <c r="AD95" s="20">
        <v>35.954991752061197</v>
      </c>
      <c r="AE95" s="20">
        <v>1.37043685369888</v>
      </c>
      <c r="AF95" s="20">
        <v>0.78858134216544395</v>
      </c>
      <c r="AG95" s="20">
        <v>11.451664051</v>
      </c>
      <c r="AH95" s="20">
        <v>10.0128636666667</v>
      </c>
      <c r="AI95" s="21">
        <f t="shared" si="1"/>
        <v>-1.4388003843332999</v>
      </c>
      <c r="AJ95" s="21">
        <v>1144131</v>
      </c>
      <c r="AK95" s="21">
        <v>2853356</v>
      </c>
      <c r="AL95" s="21">
        <v>3365086</v>
      </c>
      <c r="AM95" s="20">
        <v>423.8227</v>
      </c>
      <c r="AN95" s="19">
        <v>6871320.4612771096</v>
      </c>
      <c r="AO95" s="21">
        <v>10558.647999999999</v>
      </c>
      <c r="AP95" s="21">
        <v>142.03299999999999</v>
      </c>
      <c r="AQ95" s="21">
        <v>117.833</v>
      </c>
      <c r="AR95" s="22">
        <v>0.29349999999999998</v>
      </c>
      <c r="AS95" s="22">
        <v>0.74690330505371105</v>
      </c>
      <c r="AT95" s="20">
        <v>76.7</v>
      </c>
      <c r="AU95" s="20">
        <v>-25.7</v>
      </c>
    </row>
    <row r="96" spans="1:47" ht="16" customHeight="1" x14ac:dyDescent="0.2">
      <c r="A96" s="18" t="s">
        <v>208</v>
      </c>
      <c r="B96" s="19">
        <v>2016223.9368126299</v>
      </c>
      <c r="C96" s="19">
        <v>1128035.9331680699</v>
      </c>
      <c r="D96" s="19">
        <v>438509.318610741</v>
      </c>
      <c r="E96" s="19">
        <v>425493.06719167402</v>
      </c>
      <c r="F96" s="19">
        <v>405168.25220915402</v>
      </c>
      <c r="G96" s="19">
        <v>383661.16679576901</v>
      </c>
      <c r="H96" s="19">
        <v>487692.155753839</v>
      </c>
      <c r="I96" s="20">
        <v>76.7</v>
      </c>
      <c r="J96" s="21">
        <v>62.634377557473002</v>
      </c>
      <c r="K96" s="21">
        <v>63.044699403100502</v>
      </c>
      <c r="L96" s="21">
        <v>59.245851166129299</v>
      </c>
      <c r="M96" s="21">
        <v>66.693907688405304</v>
      </c>
      <c r="N96" s="21">
        <v>77.447169565418207</v>
      </c>
      <c r="O96" s="21">
        <v>78.2647464005655</v>
      </c>
      <c r="P96" s="21">
        <v>65.221967723920898</v>
      </c>
      <c r="Q96" s="21">
        <v>50.120742452896799</v>
      </c>
      <c r="R96" s="21">
        <v>18.216666666666701</v>
      </c>
      <c r="S96" s="21">
        <v>59.815320452716698</v>
      </c>
      <c r="T96" s="22">
        <v>54.24</v>
      </c>
      <c r="U96" s="19">
        <v>653971.95298508997</v>
      </c>
      <c r="V96" s="19">
        <v>147320.76958369001</v>
      </c>
      <c r="W96" s="19">
        <v>132986.76131248099</v>
      </c>
      <c r="X96" s="19">
        <v>110416.096059656</v>
      </c>
      <c r="Y96" s="21">
        <v>9.7297945915669501</v>
      </c>
      <c r="Z96" s="19">
        <v>56079516.538580298</v>
      </c>
      <c r="AA96" s="22">
        <v>0.32435482043672498</v>
      </c>
      <c r="AB96" s="22">
        <v>4.9175718434742697</v>
      </c>
      <c r="AC96" s="20">
        <v>15.1610875918324</v>
      </c>
      <c r="AD96" s="20">
        <v>35.952947907914997</v>
      </c>
      <c r="AE96" s="20">
        <v>1.3380116166168601</v>
      </c>
      <c r="AF96" s="20">
        <v>0.83998320033599305</v>
      </c>
      <c r="AG96" s="20">
        <v>10.706122967000001</v>
      </c>
      <c r="AH96" s="20">
        <v>9.4171746666666696</v>
      </c>
      <c r="AI96" s="21">
        <f t="shared" si="1"/>
        <v>-1.2889483003333311</v>
      </c>
      <c r="AJ96" s="21">
        <v>1152504</v>
      </c>
      <c r="AK96" s="21">
        <v>2905799</v>
      </c>
      <c r="AL96" s="21">
        <v>3441196</v>
      </c>
      <c r="AM96" s="20">
        <v>442.41840000000002</v>
      </c>
      <c r="AN96" s="19">
        <v>6911778.7119664196</v>
      </c>
      <c r="AO96" s="21">
        <v>10576.275</v>
      </c>
      <c r="AP96" s="21">
        <v>143.06700000000001</v>
      </c>
      <c r="AQ96" s="21">
        <v>118.367</v>
      </c>
      <c r="AR96" s="22">
        <v>0.1101</v>
      </c>
      <c r="AS96" s="22">
        <v>0.892434361775716</v>
      </c>
      <c r="AT96" s="20">
        <v>71.099999999999994</v>
      </c>
      <c r="AU96" s="20">
        <v>-29.9</v>
      </c>
    </row>
    <row r="97" spans="1:47" ht="16" customHeight="1" x14ac:dyDescent="0.2">
      <c r="A97" s="18" t="s">
        <v>209</v>
      </c>
      <c r="B97" s="19">
        <v>2017719.5087472601</v>
      </c>
      <c r="C97" s="19">
        <v>1127841.7953297601</v>
      </c>
      <c r="D97" s="19">
        <v>440844.73853948398</v>
      </c>
      <c r="E97" s="19">
        <v>418808.22066258802</v>
      </c>
      <c r="F97" s="19">
        <v>404133.73010855401</v>
      </c>
      <c r="G97" s="19">
        <v>382270.29804853798</v>
      </c>
      <c r="H97" s="19">
        <v>495137.65034661902</v>
      </c>
      <c r="I97" s="20">
        <v>76.3</v>
      </c>
      <c r="J97" s="21">
        <v>63.203783397816203</v>
      </c>
      <c r="K97" s="21">
        <v>63.585508760597698</v>
      </c>
      <c r="L97" s="21">
        <v>60.041754711093702</v>
      </c>
      <c r="M97" s="21">
        <v>67.223242001692597</v>
      </c>
      <c r="N97" s="21">
        <v>78.019631459450295</v>
      </c>
      <c r="O97" s="21">
        <v>78.398763991436297</v>
      </c>
      <c r="P97" s="21">
        <v>65.8156924659487</v>
      </c>
      <c r="Q97" s="21">
        <v>50.066116411681897</v>
      </c>
      <c r="R97" s="21">
        <v>18.276666666666699</v>
      </c>
      <c r="S97" s="21">
        <v>59.407404441921699</v>
      </c>
      <c r="T97" s="22">
        <v>54.9</v>
      </c>
      <c r="U97" s="19">
        <v>657170.78081598994</v>
      </c>
      <c r="V97" s="19">
        <v>147439.25488252801</v>
      </c>
      <c r="W97" s="19">
        <v>132390.67542582599</v>
      </c>
      <c r="X97" s="19">
        <v>109924.664097824</v>
      </c>
      <c r="Y97" s="21">
        <v>10.2066301601233</v>
      </c>
      <c r="Z97" s="19">
        <v>55763787.901643001</v>
      </c>
      <c r="AA97" s="22">
        <v>0.32569977044232901</v>
      </c>
      <c r="AB97" s="22">
        <v>4.96387512717373</v>
      </c>
      <c r="AC97" s="20">
        <v>15.2406466864633</v>
      </c>
      <c r="AD97" s="20">
        <v>36.183329445018003</v>
      </c>
      <c r="AE97" s="20">
        <v>1.3092106899671301</v>
      </c>
      <c r="AF97" s="20">
        <v>0.82863771958899601</v>
      </c>
      <c r="AG97" s="20">
        <v>9.0912239360000004</v>
      </c>
      <c r="AH97" s="20">
        <v>8.9926003333333302</v>
      </c>
      <c r="AI97" s="21">
        <f t="shared" si="1"/>
        <v>-9.8623602666670251E-2</v>
      </c>
      <c r="AJ97" s="21">
        <v>1166557</v>
      </c>
      <c r="AK97" s="21">
        <v>2950419</v>
      </c>
      <c r="AL97" s="21">
        <v>3479485</v>
      </c>
      <c r="AM97" s="20">
        <v>445.52089999999998</v>
      </c>
      <c r="AN97" s="19">
        <v>6922136.2783067701</v>
      </c>
      <c r="AO97" s="21">
        <v>10637.847</v>
      </c>
      <c r="AP97" s="21">
        <v>144.1</v>
      </c>
      <c r="AQ97" s="21">
        <v>119.5</v>
      </c>
      <c r="AR97" s="22">
        <v>1.9300000000000001E-2</v>
      </c>
      <c r="AS97" s="22">
        <v>0.91806709289550803</v>
      </c>
      <c r="AT97" s="20">
        <v>72.900000000000006</v>
      </c>
      <c r="AU97" s="20">
        <v>-29.8</v>
      </c>
    </row>
    <row r="98" spans="1:47" ht="16" customHeight="1" x14ac:dyDescent="0.2">
      <c r="A98" s="18" t="s">
        <v>210</v>
      </c>
      <c r="B98" s="19">
        <v>2026085.20742231</v>
      </c>
      <c r="C98" s="19">
        <v>1131481.53260555</v>
      </c>
      <c r="D98" s="19">
        <v>441319.11259800399</v>
      </c>
      <c r="E98" s="19">
        <v>419384.09904612799</v>
      </c>
      <c r="F98" s="19">
        <v>409717.784426225</v>
      </c>
      <c r="G98" s="19">
        <v>385337.50263437902</v>
      </c>
      <c r="H98" s="19">
        <v>506444.11579267</v>
      </c>
      <c r="I98" s="20">
        <v>75.7</v>
      </c>
      <c r="J98" s="21">
        <v>63.628847093962399</v>
      </c>
      <c r="K98" s="21">
        <v>64.126460950100594</v>
      </c>
      <c r="L98" s="21">
        <v>60.222640843184301</v>
      </c>
      <c r="M98" s="21">
        <v>67.518580438755095</v>
      </c>
      <c r="N98" s="21">
        <v>78.769450889300899</v>
      </c>
      <c r="O98" s="21">
        <v>79.218431922242203</v>
      </c>
      <c r="P98" s="21">
        <v>66.241831670734697</v>
      </c>
      <c r="Q98" s="21">
        <v>47.721194239201601</v>
      </c>
      <c r="R98" s="21">
        <v>16.496666666666702</v>
      </c>
      <c r="S98" s="21">
        <v>61.3357346740192</v>
      </c>
      <c r="T98" s="22">
        <v>55.56</v>
      </c>
      <c r="U98" s="19">
        <v>656909.68837363506</v>
      </c>
      <c r="V98" s="19">
        <v>147640.30483189801</v>
      </c>
      <c r="W98" s="19">
        <v>132051.448366695</v>
      </c>
      <c r="X98" s="19">
        <v>109575.238596286</v>
      </c>
      <c r="Y98" s="21">
        <v>10.558672635465401</v>
      </c>
      <c r="Z98" s="19">
        <v>55592383.083420202</v>
      </c>
      <c r="AA98" s="22">
        <v>0.32422609175918599</v>
      </c>
      <c r="AB98" s="22">
        <v>4.9746496270866896</v>
      </c>
      <c r="AC98" s="20">
        <v>15.343150207607399</v>
      </c>
      <c r="AD98" s="20">
        <v>36.445374258952498</v>
      </c>
      <c r="AE98" s="20">
        <v>1.3314072308726701</v>
      </c>
      <c r="AF98" s="20">
        <v>0.86933843345214301</v>
      </c>
      <c r="AG98" s="20">
        <v>8.1200998729999991</v>
      </c>
      <c r="AH98" s="20">
        <v>7.9778570000000002</v>
      </c>
      <c r="AI98" s="21">
        <f t="shared" si="1"/>
        <v>-0.14224287299999894</v>
      </c>
      <c r="AJ98" s="21">
        <v>1183230</v>
      </c>
      <c r="AK98" s="21">
        <v>2989060</v>
      </c>
      <c r="AL98" s="21">
        <v>3515151</v>
      </c>
      <c r="AM98" s="20">
        <v>453.56</v>
      </c>
      <c r="AN98" s="19">
        <v>6942829.9284382099</v>
      </c>
      <c r="AO98" s="21">
        <v>10688.606</v>
      </c>
      <c r="AP98" s="21">
        <v>144.767</v>
      </c>
      <c r="AQ98" s="21">
        <v>118.867</v>
      </c>
      <c r="AR98" s="22">
        <v>6.2799999999999995E-2</v>
      </c>
      <c r="AS98" s="22">
        <v>0.881769282023113</v>
      </c>
      <c r="AT98" s="20">
        <v>71.400000000000006</v>
      </c>
      <c r="AU98" s="20">
        <v>-29</v>
      </c>
    </row>
    <row r="99" spans="1:47" ht="16" customHeight="1" x14ac:dyDescent="0.2">
      <c r="A99" s="18" t="s">
        <v>211</v>
      </c>
      <c r="B99" s="19">
        <v>2031390.6767166201</v>
      </c>
      <c r="C99" s="19">
        <v>1137853.78933337</v>
      </c>
      <c r="D99" s="19">
        <v>442403.82738840103</v>
      </c>
      <c r="E99" s="19">
        <v>415326.22176183801</v>
      </c>
      <c r="F99" s="19">
        <v>420998.81024521502</v>
      </c>
      <c r="G99" s="19">
        <v>388731.63018775301</v>
      </c>
      <c r="H99" s="19">
        <v>516112.89854676701</v>
      </c>
      <c r="I99" s="20">
        <v>76</v>
      </c>
      <c r="J99" s="21">
        <v>64.142580503217999</v>
      </c>
      <c r="K99" s="21">
        <v>64.721802085333195</v>
      </c>
      <c r="L99" s="21">
        <v>60.515268693421099</v>
      </c>
      <c r="M99" s="21">
        <v>67.7616504954199</v>
      </c>
      <c r="N99" s="21">
        <v>78.912257334706894</v>
      </c>
      <c r="O99" s="21">
        <v>79.184976788383693</v>
      </c>
      <c r="P99" s="21">
        <v>66.574390403160805</v>
      </c>
      <c r="Q99" s="21">
        <v>45.123177783957601</v>
      </c>
      <c r="R99" s="21">
        <v>15.18</v>
      </c>
      <c r="S99" s="21">
        <v>61.0390684842749</v>
      </c>
      <c r="T99" s="22">
        <v>55.55</v>
      </c>
      <c r="U99" s="19">
        <v>659131.76808193803</v>
      </c>
      <c r="V99" s="19">
        <v>147986.875204109</v>
      </c>
      <c r="W99" s="19">
        <v>131886.711903474</v>
      </c>
      <c r="X99" s="19">
        <v>109393.34200045701</v>
      </c>
      <c r="Y99" s="21">
        <v>10.8794535180427</v>
      </c>
      <c r="Z99" s="19">
        <v>55515876.172680497</v>
      </c>
      <c r="AA99" s="22">
        <v>0.32447316788285502</v>
      </c>
      <c r="AB99" s="22">
        <v>4.9977117373609801</v>
      </c>
      <c r="AC99" s="20">
        <v>15.4025424350815</v>
      </c>
      <c r="AD99" s="20">
        <v>36.591166649302998</v>
      </c>
      <c r="AE99" s="20">
        <v>1.30411308573152</v>
      </c>
      <c r="AF99" s="20">
        <v>0.87719298245613997</v>
      </c>
      <c r="AG99" s="20">
        <v>7.4121285769999998</v>
      </c>
      <c r="AH99" s="20">
        <v>7.3091239999999997</v>
      </c>
      <c r="AI99" s="21">
        <f t="shared" si="1"/>
        <v>-0.1030045770000001</v>
      </c>
      <c r="AJ99" s="21">
        <v>1221682</v>
      </c>
      <c r="AK99" s="21">
        <v>3067025</v>
      </c>
      <c r="AL99" s="21">
        <v>3588556</v>
      </c>
      <c r="AM99" s="20">
        <v>464.25810000000001</v>
      </c>
      <c r="AN99" s="19">
        <v>7008320.8358341204</v>
      </c>
      <c r="AO99" s="21">
        <v>10833.986999999999</v>
      </c>
      <c r="AP99" s="21">
        <v>145.96700000000001</v>
      </c>
      <c r="AQ99" s="21">
        <v>118.9</v>
      </c>
      <c r="AR99" s="22">
        <v>1.0699999999999999E-2</v>
      </c>
      <c r="AS99" s="22">
        <v>0.77270357767740905</v>
      </c>
      <c r="AT99" s="20">
        <v>76.8</v>
      </c>
      <c r="AU99" s="20">
        <v>-23.1</v>
      </c>
    </row>
    <row r="100" spans="1:47" ht="16" customHeight="1" x14ac:dyDescent="0.2">
      <c r="A100" s="18" t="s">
        <v>212</v>
      </c>
      <c r="B100" s="19">
        <v>2050213.8672960899</v>
      </c>
      <c r="C100" s="19">
        <v>1138714.65886573</v>
      </c>
      <c r="D100" s="19">
        <v>445650.63624558802</v>
      </c>
      <c r="E100" s="19">
        <v>419567.93153254502</v>
      </c>
      <c r="F100" s="19">
        <v>432040.20368470799</v>
      </c>
      <c r="G100" s="19">
        <v>398495.53747012501</v>
      </c>
      <c r="H100" s="19">
        <v>526832.67109599803</v>
      </c>
      <c r="I100" s="20">
        <v>77.5</v>
      </c>
      <c r="J100" s="21">
        <v>64.502868071140099</v>
      </c>
      <c r="K100" s="21">
        <v>65.306241079956493</v>
      </c>
      <c r="L100" s="21">
        <v>60.8671482342261</v>
      </c>
      <c r="M100" s="21">
        <v>68.164907331924695</v>
      </c>
      <c r="N100" s="21">
        <v>78.928811909670202</v>
      </c>
      <c r="O100" s="21">
        <v>79.938779410174604</v>
      </c>
      <c r="P100" s="21">
        <v>67.214226522974798</v>
      </c>
      <c r="Q100" s="21">
        <v>44.114268329646102</v>
      </c>
      <c r="R100" s="21">
        <v>13.97</v>
      </c>
      <c r="S100" s="21">
        <v>64.747395852357201</v>
      </c>
      <c r="T100" s="22">
        <v>55.52</v>
      </c>
      <c r="U100" s="19">
        <v>661817.87603408296</v>
      </c>
      <c r="V100" s="19">
        <v>148166.689782923</v>
      </c>
      <c r="W100" s="19">
        <v>131777.24885883401</v>
      </c>
      <c r="X100" s="19">
        <v>109301.660579409</v>
      </c>
      <c r="Y100" s="21">
        <v>11.061488211757201</v>
      </c>
      <c r="Z100" s="19">
        <v>55468699.519036002</v>
      </c>
      <c r="AA100" s="22">
        <v>0.32280431158478001</v>
      </c>
      <c r="AB100" s="22">
        <v>5.0222468731537599</v>
      </c>
      <c r="AC100" s="20">
        <v>15.5581777966269</v>
      </c>
      <c r="AD100" s="20">
        <v>36.961635752655098</v>
      </c>
      <c r="AE100" s="20">
        <v>1.2683884617238399</v>
      </c>
      <c r="AF100" s="20">
        <v>0.88873089228581603</v>
      </c>
      <c r="AG100" s="20">
        <v>6.84</v>
      </c>
      <c r="AH100" s="20">
        <v>6.9733333333333301</v>
      </c>
      <c r="AI100" s="21">
        <f t="shared" si="1"/>
        <v>0.1333333333333302</v>
      </c>
      <c r="AJ100" s="21">
        <v>1254183</v>
      </c>
      <c r="AK100" s="21">
        <v>3125371</v>
      </c>
      <c r="AL100" s="21">
        <v>3622879</v>
      </c>
      <c r="AM100" s="20">
        <v>469.39519999999999</v>
      </c>
      <c r="AN100" s="19">
        <v>7075215.9460617602</v>
      </c>
      <c r="AO100" s="21">
        <v>10939.116</v>
      </c>
      <c r="AP100" s="21">
        <v>146.69999999999999</v>
      </c>
      <c r="AQ100" s="21">
        <v>119.367</v>
      </c>
      <c r="AR100" s="22">
        <v>2.0799999999999999E-2</v>
      </c>
      <c r="AS100" s="22">
        <v>0.90218231201171795</v>
      </c>
      <c r="AT100" s="20">
        <v>82.9</v>
      </c>
      <c r="AU100" s="20">
        <v>-17</v>
      </c>
    </row>
    <row r="101" spans="1:47" ht="16" customHeight="1" x14ac:dyDescent="0.2">
      <c r="A101" s="18" t="s">
        <v>213</v>
      </c>
      <c r="B101" s="19">
        <v>2062983.1595932499</v>
      </c>
      <c r="C101" s="19">
        <v>1141995.0251945399</v>
      </c>
      <c r="D101" s="19">
        <v>445215.06575784797</v>
      </c>
      <c r="E101" s="19">
        <v>426371.05013158801</v>
      </c>
      <c r="F101" s="19">
        <v>442432.35985310702</v>
      </c>
      <c r="G101" s="19">
        <v>410016.89672552398</v>
      </c>
      <c r="H101" s="19">
        <v>538313.86527809396</v>
      </c>
      <c r="I101" s="20">
        <v>78.099999999999994</v>
      </c>
      <c r="J101" s="21">
        <v>64.935313339477801</v>
      </c>
      <c r="K101" s="21">
        <v>65.783477074240395</v>
      </c>
      <c r="L101" s="21">
        <v>60.952669532210997</v>
      </c>
      <c r="M101" s="21">
        <v>68.411151562164605</v>
      </c>
      <c r="N101" s="21">
        <v>79.234243454132297</v>
      </c>
      <c r="O101" s="21">
        <v>79.965867041845996</v>
      </c>
      <c r="P101" s="21">
        <v>67.689885689818297</v>
      </c>
      <c r="Q101" s="21">
        <v>49.395523361908303</v>
      </c>
      <c r="R101" s="21">
        <v>16.059999999999999</v>
      </c>
      <c r="S101" s="21">
        <v>69.605304705181794</v>
      </c>
      <c r="T101" s="22">
        <v>55.85</v>
      </c>
      <c r="U101" s="19">
        <v>666835.31112156005</v>
      </c>
      <c r="V101" s="19">
        <v>148259.799627745</v>
      </c>
      <c r="W101" s="19">
        <v>131744.735083198</v>
      </c>
      <c r="X101" s="19">
        <v>109369.15365469</v>
      </c>
      <c r="Y101" s="21">
        <v>11.139273482099499</v>
      </c>
      <c r="Z101" s="19">
        <v>55447565.200025</v>
      </c>
      <c r="AA101" s="22">
        <v>0.32323836868015798</v>
      </c>
      <c r="AB101" s="22">
        <v>5.0615708529107302</v>
      </c>
      <c r="AC101" s="20">
        <v>15.658941955368901</v>
      </c>
      <c r="AD101" s="20">
        <v>37.206018914466597</v>
      </c>
      <c r="AE101" s="20">
        <v>1.1972324774052301</v>
      </c>
      <c r="AF101" s="20">
        <v>0.85954959601169001</v>
      </c>
      <c r="AG101" s="20">
        <v>6.37</v>
      </c>
      <c r="AH101" s="20">
        <v>7.86</v>
      </c>
      <c r="AI101" s="21">
        <f t="shared" si="1"/>
        <v>1.4900000000000002</v>
      </c>
      <c r="AJ101" s="21">
        <v>1260722</v>
      </c>
      <c r="AK101" s="21">
        <v>3145542</v>
      </c>
      <c r="AL101" s="21">
        <v>3642375</v>
      </c>
      <c r="AM101" s="20">
        <v>451.13310000000001</v>
      </c>
      <c r="AN101" s="19">
        <v>7138039.8229347197</v>
      </c>
      <c r="AO101" s="21">
        <v>11087.361000000001</v>
      </c>
      <c r="AP101" s="21">
        <v>147.53299999999999</v>
      </c>
      <c r="AQ101" s="21">
        <v>120.033</v>
      </c>
      <c r="AR101" s="22">
        <v>2.0199999999999999E-2</v>
      </c>
      <c r="AS101" s="22">
        <v>0.97448671976725298</v>
      </c>
      <c r="AT101" s="20">
        <v>93.1</v>
      </c>
      <c r="AU101" s="20">
        <v>-9</v>
      </c>
    </row>
    <row r="102" spans="1:47" ht="16" customHeight="1" x14ac:dyDescent="0.2">
      <c r="A102" s="18" t="s">
        <v>214</v>
      </c>
      <c r="B102" s="19">
        <v>2076875.88738561</v>
      </c>
      <c r="C102" s="19">
        <v>1150295.3067476701</v>
      </c>
      <c r="D102" s="19">
        <v>445549.57817981899</v>
      </c>
      <c r="E102" s="19">
        <v>430943.60761729901</v>
      </c>
      <c r="F102" s="19">
        <v>449573.99419175897</v>
      </c>
      <c r="G102" s="19">
        <v>422600.93639230699</v>
      </c>
      <c r="H102" s="19">
        <v>549075.27335051401</v>
      </c>
      <c r="I102" s="20">
        <v>79.3</v>
      </c>
      <c r="J102" s="21">
        <v>65.398381777755205</v>
      </c>
      <c r="K102" s="21">
        <v>66.2743420699517</v>
      </c>
      <c r="L102" s="21">
        <v>61.295189613016603</v>
      </c>
      <c r="M102" s="21">
        <v>68.710999878042401</v>
      </c>
      <c r="N102" s="21">
        <v>79.498492305652803</v>
      </c>
      <c r="O102" s="21">
        <v>79.979196896574905</v>
      </c>
      <c r="P102" s="21">
        <v>68.067811107490797</v>
      </c>
      <c r="Q102" s="21">
        <v>53.167374580765703</v>
      </c>
      <c r="R102" s="21">
        <v>16.796666666666699</v>
      </c>
      <c r="S102" s="21">
        <v>78.356957294782205</v>
      </c>
      <c r="T102" s="22">
        <v>56.48</v>
      </c>
      <c r="U102" s="19">
        <v>672663.78080490394</v>
      </c>
      <c r="V102" s="19">
        <v>148335.0719252</v>
      </c>
      <c r="W102" s="19">
        <v>131986.42081542299</v>
      </c>
      <c r="X102" s="19">
        <v>109631.637086715</v>
      </c>
      <c r="Y102" s="21">
        <v>11.021433365415501</v>
      </c>
      <c r="Z102" s="19">
        <v>55535019.105131201</v>
      </c>
      <c r="AA102" s="22">
        <v>0.32388251261930701</v>
      </c>
      <c r="AB102" s="22">
        <v>5.0964620197224102</v>
      </c>
      <c r="AC102" s="20">
        <v>15.735526992507999</v>
      </c>
      <c r="AD102" s="20">
        <v>37.397590220577001</v>
      </c>
      <c r="AE102" s="20">
        <v>1.1423349326022401</v>
      </c>
      <c r="AF102" s="20">
        <v>0.81512879034887498</v>
      </c>
      <c r="AG102" s="20">
        <v>6.3833333333333302</v>
      </c>
      <c r="AH102" s="20">
        <v>8.73</v>
      </c>
      <c r="AI102" s="21">
        <f t="shared" si="1"/>
        <v>2.3466666666666702</v>
      </c>
      <c r="AJ102" s="21">
        <v>1271745</v>
      </c>
      <c r="AK102" s="21">
        <v>3162985</v>
      </c>
      <c r="AL102" s="21">
        <v>3656168</v>
      </c>
      <c r="AM102" s="20">
        <v>460.8451</v>
      </c>
      <c r="AN102" s="19">
        <v>7193243.9164490001</v>
      </c>
      <c r="AO102" s="21">
        <v>11152.175999999999</v>
      </c>
      <c r="AP102" s="21">
        <v>148.9</v>
      </c>
      <c r="AQ102" s="21">
        <v>120.967</v>
      </c>
      <c r="AR102" s="22">
        <v>2.3599999999999999E-2</v>
      </c>
      <c r="AS102" s="22">
        <v>0.84755200703938804</v>
      </c>
      <c r="AT102" s="20">
        <v>99.1</v>
      </c>
      <c r="AU102" s="20">
        <v>-4.5</v>
      </c>
    </row>
    <row r="103" spans="1:47" ht="16" customHeight="1" x14ac:dyDescent="0.2">
      <c r="A103" s="18" t="s">
        <v>215</v>
      </c>
      <c r="B103" s="19">
        <v>2093354.40510194</v>
      </c>
      <c r="C103" s="19">
        <v>1155537.53200191</v>
      </c>
      <c r="D103" s="19">
        <v>448509.53922707099</v>
      </c>
      <c r="E103" s="19">
        <v>441590.124335145</v>
      </c>
      <c r="F103" s="19">
        <v>462933.87992053601</v>
      </c>
      <c r="G103" s="19">
        <v>436690.76435138303</v>
      </c>
      <c r="H103" s="19">
        <v>562654.13013264898</v>
      </c>
      <c r="I103" s="20">
        <v>80.5</v>
      </c>
      <c r="J103" s="21">
        <v>65.939994541351098</v>
      </c>
      <c r="K103" s="21">
        <v>66.744012794719097</v>
      </c>
      <c r="L103" s="21">
        <v>61.839727456856203</v>
      </c>
      <c r="M103" s="21">
        <v>69.065856766263806</v>
      </c>
      <c r="N103" s="21">
        <v>80.236560414890505</v>
      </c>
      <c r="O103" s="21">
        <v>80.726946551695207</v>
      </c>
      <c r="P103" s="21">
        <v>68.353966289649307</v>
      </c>
      <c r="Q103" s="21">
        <v>53.916219949968401</v>
      </c>
      <c r="R103" s="21">
        <v>16.536666666666701</v>
      </c>
      <c r="S103" s="21">
        <v>82.844033410219794</v>
      </c>
      <c r="T103" s="22">
        <v>56.3</v>
      </c>
      <c r="U103" s="19">
        <v>680495.73411248799</v>
      </c>
      <c r="V103" s="19">
        <v>148592.53537502</v>
      </c>
      <c r="W103" s="19">
        <v>132214.01724487299</v>
      </c>
      <c r="X103" s="19">
        <v>109869.517083064</v>
      </c>
      <c r="Y103" s="21">
        <v>11.022436684865101</v>
      </c>
      <c r="Z103" s="19">
        <v>55612278.890128203</v>
      </c>
      <c r="AA103" s="22">
        <v>0.32507430774931301</v>
      </c>
      <c r="AB103" s="22">
        <v>5.1469257820987702</v>
      </c>
      <c r="AC103" s="20">
        <v>15.8330746521743</v>
      </c>
      <c r="AD103" s="20">
        <v>37.6419461111768</v>
      </c>
      <c r="AE103" s="20">
        <v>1.12277045856191</v>
      </c>
      <c r="AF103" s="20">
        <v>0.80632156103854202</v>
      </c>
      <c r="AG103" s="20">
        <v>6.5066666666666704</v>
      </c>
      <c r="AH103" s="20">
        <v>9.14</v>
      </c>
      <c r="AI103" s="21">
        <f t="shared" si="1"/>
        <v>2.6333333333333302</v>
      </c>
      <c r="AJ103" s="21">
        <v>1273837</v>
      </c>
      <c r="AK103" s="21">
        <v>3159101</v>
      </c>
      <c r="AL103" s="21">
        <v>3672401</v>
      </c>
      <c r="AM103" s="20">
        <v>459.90690000000001</v>
      </c>
      <c r="AN103" s="19">
        <v>7246782.9997044299</v>
      </c>
      <c r="AO103" s="21">
        <v>11279.932000000001</v>
      </c>
      <c r="AP103" s="21">
        <v>149.767</v>
      </c>
      <c r="AQ103" s="21">
        <v>121.43300000000001</v>
      </c>
      <c r="AR103" s="22">
        <v>3.4000000000000002E-2</v>
      </c>
      <c r="AS103" s="22">
        <v>0.82111361185709597</v>
      </c>
      <c r="AT103" s="20">
        <v>105.3</v>
      </c>
      <c r="AU103" s="20">
        <v>1.7</v>
      </c>
    </row>
    <row r="104" spans="1:47" ht="16" customHeight="1" x14ac:dyDescent="0.2">
      <c r="A104" s="18" t="s">
        <v>216</v>
      </c>
      <c r="B104" s="19">
        <v>2104725.2999999998</v>
      </c>
      <c r="C104" s="19">
        <v>1160647</v>
      </c>
      <c r="D104" s="19">
        <v>442581.6</v>
      </c>
      <c r="E104" s="19">
        <v>435508.9</v>
      </c>
      <c r="F104" s="19">
        <v>478490</v>
      </c>
      <c r="G104" s="19">
        <v>442839.9</v>
      </c>
      <c r="H104" s="19">
        <v>573998.89021678804</v>
      </c>
      <c r="I104" s="20">
        <v>81.5</v>
      </c>
      <c r="J104" s="21">
        <v>66.354249953150898</v>
      </c>
      <c r="K104" s="21">
        <v>67.269280996660598</v>
      </c>
      <c r="L104" s="21">
        <v>62.614426794321098</v>
      </c>
      <c r="M104" s="21">
        <v>69.478952294099699</v>
      </c>
      <c r="N104" s="21">
        <v>81.08129976283</v>
      </c>
      <c r="O104" s="21">
        <v>81.772739075616897</v>
      </c>
      <c r="P104" s="21">
        <v>68.946384864563697</v>
      </c>
      <c r="Q104" s="21">
        <v>55.308610723822802</v>
      </c>
      <c r="R104" s="21">
        <v>16.89</v>
      </c>
      <c r="S104" s="21">
        <v>85.439862568621606</v>
      </c>
      <c r="T104" s="22">
        <v>56.28</v>
      </c>
      <c r="U104" s="19">
        <v>684690.98917997105</v>
      </c>
      <c r="V104" s="19">
        <v>148519.58429668099</v>
      </c>
      <c r="W104" s="19">
        <v>132220.51999999999</v>
      </c>
      <c r="X104" s="19">
        <v>109948.74</v>
      </c>
      <c r="Y104" s="21">
        <v>10.9743535668149</v>
      </c>
      <c r="Z104" s="19">
        <v>55595287</v>
      </c>
      <c r="AA104" s="22">
        <v>0.32531133121266298</v>
      </c>
      <c r="AB104" s="22">
        <v>5.1784018787701802</v>
      </c>
      <c r="AC104" s="20">
        <v>15.9182954355345</v>
      </c>
      <c r="AD104" s="20">
        <v>37.857980659403701</v>
      </c>
      <c r="AE104" s="20">
        <v>1.0867190972407099</v>
      </c>
      <c r="AF104" s="20">
        <v>0.78536087332129101</v>
      </c>
      <c r="AG104" s="20">
        <v>6.9433333333333298</v>
      </c>
      <c r="AH104" s="20">
        <v>9.32</v>
      </c>
      <c r="AI104" s="21">
        <f t="shared" si="1"/>
        <v>2.3766666666666705</v>
      </c>
      <c r="AJ104" s="21">
        <v>1279786</v>
      </c>
      <c r="AK104" s="21">
        <v>3176992</v>
      </c>
      <c r="AL104" s="21">
        <v>3698901</v>
      </c>
      <c r="AM104" s="20">
        <v>480.0197</v>
      </c>
      <c r="AN104" s="19">
        <v>7265776.35675772</v>
      </c>
      <c r="AO104" s="21">
        <v>11319.950999999999</v>
      </c>
      <c r="AP104" s="21">
        <v>150.86699999999999</v>
      </c>
      <c r="AQ104" s="21">
        <v>123.43300000000001</v>
      </c>
      <c r="AR104" s="22">
        <v>2.6700000000000002E-2</v>
      </c>
      <c r="AS104" s="22">
        <v>0.71018323262532601</v>
      </c>
      <c r="AT104" s="20">
        <v>104.7</v>
      </c>
      <c r="AU104" s="20">
        <v>3</v>
      </c>
    </row>
    <row r="105" spans="1:47" ht="16" customHeight="1" x14ac:dyDescent="0.2">
      <c r="A105" s="18" t="s">
        <v>217</v>
      </c>
      <c r="B105" s="19">
        <v>2121400.4</v>
      </c>
      <c r="C105" s="19">
        <v>1172188</v>
      </c>
      <c r="D105" s="19">
        <v>446516.9</v>
      </c>
      <c r="E105" s="19">
        <v>438776.1</v>
      </c>
      <c r="F105" s="19">
        <v>482438.1</v>
      </c>
      <c r="G105" s="19">
        <v>450298.7</v>
      </c>
      <c r="H105" s="19">
        <v>582970.80806007294</v>
      </c>
      <c r="I105" s="20">
        <v>82</v>
      </c>
      <c r="J105" s="21">
        <v>66.9579407887488</v>
      </c>
      <c r="K105" s="21">
        <v>67.687038439819204</v>
      </c>
      <c r="L105" s="21">
        <v>63.145724962913398</v>
      </c>
      <c r="M105" s="21">
        <v>69.954893278805699</v>
      </c>
      <c r="N105" s="21">
        <v>81.459993846352404</v>
      </c>
      <c r="O105" s="21">
        <v>81.937866210267202</v>
      </c>
      <c r="P105" s="21">
        <v>69.515172581683203</v>
      </c>
      <c r="Q105" s="21">
        <v>57.384102834510799</v>
      </c>
      <c r="R105" s="21">
        <v>18.1033333333333</v>
      </c>
      <c r="S105" s="21">
        <v>84.290281083879407</v>
      </c>
      <c r="T105" s="22">
        <v>56.61</v>
      </c>
      <c r="U105" s="19">
        <v>692854.19417497097</v>
      </c>
      <c r="V105" s="19">
        <v>148635.36914810099</v>
      </c>
      <c r="W105" s="19">
        <v>132455.28</v>
      </c>
      <c r="X105" s="19">
        <v>110138.99</v>
      </c>
      <c r="Y105" s="21">
        <v>10.8857597224918</v>
      </c>
      <c r="Z105" s="19">
        <v>55628347</v>
      </c>
      <c r="AA105" s="22">
        <v>0.32660227375038198</v>
      </c>
      <c r="AB105" s="22">
        <v>5.23085372040262</v>
      </c>
      <c r="AC105" s="20">
        <v>16.015974599125101</v>
      </c>
      <c r="AD105" s="20">
        <v>38.135240653474703</v>
      </c>
      <c r="AE105" s="20">
        <v>1.05851133083454</v>
      </c>
      <c r="AF105" s="20">
        <v>0.75131480090157798</v>
      </c>
      <c r="AG105" s="20">
        <v>7.1366666666666703</v>
      </c>
      <c r="AH105" s="20">
        <v>8.93</v>
      </c>
      <c r="AI105" s="21">
        <f t="shared" si="1"/>
        <v>1.7933333333333294</v>
      </c>
      <c r="AJ105" s="21">
        <v>1291901</v>
      </c>
      <c r="AK105" s="21">
        <v>3212302</v>
      </c>
      <c r="AL105" s="21">
        <v>3752177</v>
      </c>
      <c r="AM105" s="20">
        <v>523.7106</v>
      </c>
      <c r="AN105" s="19">
        <v>7294103.2368013104</v>
      </c>
      <c r="AO105" s="21">
        <v>11353.721</v>
      </c>
      <c r="AP105" s="21">
        <v>152.1</v>
      </c>
      <c r="AQ105" s="21">
        <v>124.93300000000001</v>
      </c>
      <c r="AR105" s="22">
        <v>4.3200000000000002E-2</v>
      </c>
      <c r="AS105" s="22">
        <v>0.88428365071614601</v>
      </c>
      <c r="AT105" s="20">
        <v>106.1</v>
      </c>
      <c r="AU105" s="20">
        <v>1</v>
      </c>
    </row>
    <row r="106" spans="1:47" ht="16" customHeight="1" x14ac:dyDescent="0.2">
      <c r="A106" s="18" t="s">
        <v>218</v>
      </c>
      <c r="B106" s="19">
        <v>2126813.7999999998</v>
      </c>
      <c r="C106" s="19">
        <v>1174320.7</v>
      </c>
      <c r="D106" s="19">
        <v>449716.1</v>
      </c>
      <c r="E106" s="19">
        <v>438985</v>
      </c>
      <c r="F106" s="19">
        <v>482342.40000000002</v>
      </c>
      <c r="G106" s="19">
        <v>453369.5</v>
      </c>
      <c r="H106" s="19">
        <v>591194.99028066196</v>
      </c>
      <c r="I106" s="20">
        <v>81.7</v>
      </c>
      <c r="J106" s="21">
        <v>67.494065652368107</v>
      </c>
      <c r="K106" s="21">
        <v>68.282671765418499</v>
      </c>
      <c r="L106" s="21">
        <v>63.636637922702697</v>
      </c>
      <c r="M106" s="21">
        <v>70.2531744699303</v>
      </c>
      <c r="N106" s="21">
        <v>81.979753048500299</v>
      </c>
      <c r="O106" s="21">
        <v>82.029271197401897</v>
      </c>
      <c r="P106" s="21">
        <v>69.801229562901497</v>
      </c>
      <c r="Q106" s="21">
        <v>53.608803452898002</v>
      </c>
      <c r="R106" s="21">
        <v>16.216666666666701</v>
      </c>
      <c r="S106" s="21">
        <v>84.253197810471406</v>
      </c>
      <c r="T106" s="22">
        <v>57.38</v>
      </c>
      <c r="U106" s="19">
        <v>698763.32547226502</v>
      </c>
      <c r="V106" s="19">
        <v>148990.01192167599</v>
      </c>
      <c r="W106" s="19">
        <v>132583.66</v>
      </c>
      <c r="X106" s="19">
        <v>110262.67</v>
      </c>
      <c r="Y106" s="21">
        <v>11.011712604131199</v>
      </c>
      <c r="Z106" s="19">
        <v>55683076</v>
      </c>
      <c r="AA106" s="22">
        <v>0.32854936594461898</v>
      </c>
      <c r="AB106" s="22">
        <v>5.2703577912411301</v>
      </c>
      <c r="AC106" s="20">
        <v>16.041296491588799</v>
      </c>
      <c r="AD106" s="20">
        <v>38.1949768723265</v>
      </c>
      <c r="AE106" s="20">
        <v>1.0511625332036001</v>
      </c>
      <c r="AF106" s="20">
        <v>0.76196281621456896</v>
      </c>
      <c r="AG106" s="20">
        <v>6.6933333333333298</v>
      </c>
      <c r="AH106" s="20">
        <v>8.5133333333333301</v>
      </c>
      <c r="AI106" s="21">
        <f t="shared" si="1"/>
        <v>1.8200000000000003</v>
      </c>
      <c r="AJ106" s="21">
        <v>1313848</v>
      </c>
      <c r="AK106" s="21">
        <v>3256397</v>
      </c>
      <c r="AL106" s="21">
        <v>3804491</v>
      </c>
      <c r="AM106" s="20">
        <v>564.68020000000001</v>
      </c>
      <c r="AN106" s="19">
        <v>7359580.7754036495</v>
      </c>
      <c r="AO106" s="21">
        <v>11450.31</v>
      </c>
      <c r="AP106" s="21">
        <v>152.86699999999999</v>
      </c>
      <c r="AQ106" s="21">
        <v>125.2</v>
      </c>
      <c r="AR106" s="22">
        <v>1.26E-2</v>
      </c>
      <c r="AS106" s="22">
        <v>0.82000116984049498</v>
      </c>
      <c r="AT106" s="20">
        <v>105.2</v>
      </c>
      <c r="AU106" s="20">
        <v>-2.9</v>
      </c>
    </row>
    <row r="107" spans="1:47" ht="16" customHeight="1" x14ac:dyDescent="0.2">
      <c r="A107" s="18" t="s">
        <v>219</v>
      </c>
      <c r="B107" s="19">
        <v>2131525.4</v>
      </c>
      <c r="C107" s="19">
        <v>1178447</v>
      </c>
      <c r="D107" s="19">
        <v>452921.3</v>
      </c>
      <c r="E107" s="19">
        <v>438947.3</v>
      </c>
      <c r="F107" s="19">
        <v>487335.6</v>
      </c>
      <c r="G107" s="19">
        <v>457510.40000000002</v>
      </c>
      <c r="H107" s="19">
        <v>596755.36782430497</v>
      </c>
      <c r="I107" s="20">
        <v>81.599999999999994</v>
      </c>
      <c r="J107" s="21">
        <v>67.961028072567601</v>
      </c>
      <c r="K107" s="21">
        <v>68.684439162144002</v>
      </c>
      <c r="L107" s="21">
        <v>64.1291469328701</v>
      </c>
      <c r="M107" s="21">
        <v>70.473086115367593</v>
      </c>
      <c r="N107" s="21">
        <v>82.311045636650107</v>
      </c>
      <c r="O107" s="21">
        <v>81.731371187652002</v>
      </c>
      <c r="P107" s="21">
        <v>70.083960299514601</v>
      </c>
      <c r="Q107" s="21">
        <v>55.075201134792103</v>
      </c>
      <c r="R107" s="21">
        <v>16.966666666666701</v>
      </c>
      <c r="S107" s="21">
        <v>83.919448347319204</v>
      </c>
      <c r="T107" s="22">
        <v>57.29</v>
      </c>
      <c r="U107" s="19">
        <v>705689.96694140998</v>
      </c>
      <c r="V107" s="19">
        <v>149424.98635033</v>
      </c>
      <c r="W107" s="19">
        <v>132872.49</v>
      </c>
      <c r="X107" s="19">
        <v>110519.66</v>
      </c>
      <c r="Y107" s="21">
        <v>11.0774621799344</v>
      </c>
      <c r="Z107" s="19">
        <v>55806331</v>
      </c>
      <c r="AA107" s="22">
        <v>0.33107274580983698</v>
      </c>
      <c r="AB107" s="22">
        <v>5.3110314026734198</v>
      </c>
      <c r="AC107" s="20">
        <v>16.0418864732647</v>
      </c>
      <c r="AD107" s="20">
        <v>38.195046364900797</v>
      </c>
      <c r="AE107" s="20">
        <v>1.03683100207643</v>
      </c>
      <c r="AF107" s="20">
        <v>0.75907089722180099</v>
      </c>
      <c r="AG107" s="20">
        <v>6.5066666666666704</v>
      </c>
      <c r="AH107" s="20">
        <v>8.1533333333333307</v>
      </c>
      <c r="AI107" s="21">
        <f t="shared" si="1"/>
        <v>1.6466666666666603</v>
      </c>
      <c r="AJ107" s="21">
        <v>1349298</v>
      </c>
      <c r="AK107" s="21">
        <v>3312463</v>
      </c>
      <c r="AL107" s="21">
        <v>3877110</v>
      </c>
      <c r="AM107" s="20">
        <v>597.67550000000006</v>
      </c>
      <c r="AN107" s="19">
        <v>7408765.1792902099</v>
      </c>
      <c r="AO107" s="21">
        <v>11528.066999999999</v>
      </c>
      <c r="AP107" s="21">
        <v>153.69999999999999</v>
      </c>
      <c r="AQ107" s="21">
        <v>125.467</v>
      </c>
      <c r="AR107" s="22">
        <v>1.43E-2</v>
      </c>
      <c r="AS107" s="22">
        <v>0.58908400217692003</v>
      </c>
      <c r="AT107" s="20">
        <v>99.8</v>
      </c>
      <c r="AU107" s="20">
        <v>-7.3</v>
      </c>
    </row>
    <row r="108" spans="1:47" ht="16" customHeight="1" x14ac:dyDescent="0.2">
      <c r="A108" s="18" t="s">
        <v>220</v>
      </c>
      <c r="B108" s="19">
        <v>2134923.7999999998</v>
      </c>
      <c r="C108" s="19">
        <v>1189379.8</v>
      </c>
      <c r="D108" s="19">
        <v>452096.4</v>
      </c>
      <c r="E108" s="19">
        <v>431261.6</v>
      </c>
      <c r="F108" s="19">
        <v>495853.2</v>
      </c>
      <c r="G108" s="19">
        <v>462827.3</v>
      </c>
      <c r="H108" s="19">
        <v>596438.88371500804</v>
      </c>
      <c r="I108" s="20">
        <v>81</v>
      </c>
      <c r="J108" s="21">
        <v>68.124361030395704</v>
      </c>
      <c r="K108" s="21">
        <v>68.956760515881498</v>
      </c>
      <c r="L108" s="21">
        <v>64.367968996444205</v>
      </c>
      <c r="M108" s="21">
        <v>70.651110688859504</v>
      </c>
      <c r="N108" s="21">
        <v>82.261601385446696</v>
      </c>
      <c r="O108" s="21">
        <v>82.331425623389705</v>
      </c>
      <c r="P108" s="21">
        <v>70.669379236811807</v>
      </c>
      <c r="Q108" s="21">
        <v>57.407852669593098</v>
      </c>
      <c r="R108" s="21">
        <v>18.566666666666698</v>
      </c>
      <c r="S108" s="21">
        <v>81.026953000000006</v>
      </c>
      <c r="T108" s="22">
        <v>57.47</v>
      </c>
      <c r="U108" s="19">
        <v>708632.12809168699</v>
      </c>
      <c r="V108" s="19">
        <v>149415.10957812701</v>
      </c>
      <c r="W108" s="19">
        <v>132920.04999999999</v>
      </c>
      <c r="X108" s="19">
        <v>110443.38</v>
      </c>
      <c r="Y108" s="21">
        <v>11.0397533587472</v>
      </c>
      <c r="Z108" s="19">
        <v>55699246</v>
      </c>
      <c r="AA108" s="22">
        <v>0.33192385043985501</v>
      </c>
      <c r="AB108" s="22">
        <v>5.3312658857086497</v>
      </c>
      <c r="AC108" s="20">
        <v>16.061713789605101</v>
      </c>
      <c r="AD108" s="20">
        <v>38.3294919288494</v>
      </c>
      <c r="AE108" s="20">
        <v>1.037682757552</v>
      </c>
      <c r="AF108" s="20">
        <v>0.77681970014759605</v>
      </c>
      <c r="AG108" s="20">
        <v>5.63</v>
      </c>
      <c r="AH108" s="20">
        <v>7.64333333333333</v>
      </c>
      <c r="AI108" s="21">
        <f t="shared" si="1"/>
        <v>2.0133333333333301</v>
      </c>
      <c r="AJ108" s="21">
        <v>1347622</v>
      </c>
      <c r="AK108" s="21">
        <v>3337370</v>
      </c>
      <c r="AL108" s="21">
        <v>3919392</v>
      </c>
      <c r="AM108" s="20">
        <v>637.00890000000004</v>
      </c>
      <c r="AN108" s="19">
        <v>7466056.0783310197</v>
      </c>
      <c r="AO108" s="21">
        <v>11614.418</v>
      </c>
      <c r="AP108" s="21">
        <v>155.06700000000001</v>
      </c>
      <c r="AQ108" s="21">
        <v>126.3</v>
      </c>
      <c r="AR108" s="22">
        <v>7.1999999999999998E-3</v>
      </c>
      <c r="AS108" s="22">
        <v>0.67731142679850298</v>
      </c>
      <c r="AT108" s="20">
        <v>95.1</v>
      </c>
      <c r="AU108" s="20">
        <v>-12.5</v>
      </c>
    </row>
    <row r="109" spans="1:47" ht="16" customHeight="1" x14ac:dyDescent="0.2">
      <c r="A109" s="18" t="s">
        <v>221</v>
      </c>
      <c r="B109" s="19">
        <v>2151847.1</v>
      </c>
      <c r="C109" s="19">
        <v>1193068.7</v>
      </c>
      <c r="D109" s="19">
        <v>454325.2</v>
      </c>
      <c r="E109" s="19">
        <v>448839.5</v>
      </c>
      <c r="F109" s="19">
        <v>498035.3</v>
      </c>
      <c r="G109" s="19">
        <v>463382.9</v>
      </c>
      <c r="H109" s="19">
        <v>606824.16639031901</v>
      </c>
      <c r="I109" s="20">
        <v>80</v>
      </c>
      <c r="J109" s="21">
        <v>68.328379652008294</v>
      </c>
      <c r="K109" s="21">
        <v>69.241193833347197</v>
      </c>
      <c r="L109" s="21">
        <v>64.751581035922399</v>
      </c>
      <c r="M109" s="21">
        <v>70.661740507127703</v>
      </c>
      <c r="N109" s="21">
        <v>82.029115017498796</v>
      </c>
      <c r="O109" s="21">
        <v>82.188537999965305</v>
      </c>
      <c r="P109" s="21">
        <v>71.228188222963794</v>
      </c>
      <c r="Q109" s="21">
        <v>58.678704265796398</v>
      </c>
      <c r="R109" s="21">
        <v>19.503333333333298</v>
      </c>
      <c r="S109" s="21">
        <v>79.167313333333297</v>
      </c>
      <c r="T109" s="22">
        <v>57.78</v>
      </c>
      <c r="U109" s="19">
        <v>713409.102611813</v>
      </c>
      <c r="V109" s="19">
        <v>149942.27447429401</v>
      </c>
      <c r="W109" s="19">
        <v>133227.47</v>
      </c>
      <c r="X109" s="19">
        <v>110762.25</v>
      </c>
      <c r="Y109" s="21">
        <v>11.1474929488013</v>
      </c>
      <c r="Z109" s="19">
        <v>55753714</v>
      </c>
      <c r="AA109" s="22">
        <v>0.33153336155334301</v>
      </c>
      <c r="AB109" s="22">
        <v>5.3548198626890802</v>
      </c>
      <c r="AC109" s="20">
        <v>16.151677277966801</v>
      </c>
      <c r="AD109" s="20">
        <v>38.595583067345103</v>
      </c>
      <c r="AE109" s="20">
        <v>1.0462155245829301</v>
      </c>
      <c r="AF109" s="20">
        <v>0.79713033080908702</v>
      </c>
      <c r="AG109" s="20">
        <v>5.1366666666666703</v>
      </c>
      <c r="AH109" s="20">
        <v>7.5366666666666697</v>
      </c>
      <c r="AI109" s="21">
        <f t="shared" si="1"/>
        <v>2.3999999999999995</v>
      </c>
      <c r="AJ109" s="21">
        <v>1370698</v>
      </c>
      <c r="AK109" s="21">
        <v>3382265</v>
      </c>
      <c r="AL109" s="21">
        <v>3948661</v>
      </c>
      <c r="AM109" s="20">
        <v>659.34950000000003</v>
      </c>
      <c r="AN109" s="19">
        <v>7595065.5136559196</v>
      </c>
      <c r="AO109" s="21">
        <v>11808.14</v>
      </c>
      <c r="AP109" s="21">
        <v>156.4</v>
      </c>
      <c r="AQ109" s="21">
        <v>127.833</v>
      </c>
      <c r="AR109" s="22">
        <v>7.9000000000000008E-3</v>
      </c>
      <c r="AS109" s="22">
        <v>0.57608142852783195</v>
      </c>
      <c r="AT109" s="20">
        <v>92</v>
      </c>
      <c r="AU109" s="20">
        <v>-15.5</v>
      </c>
    </row>
    <row r="110" spans="1:47" ht="16" customHeight="1" x14ac:dyDescent="0.2">
      <c r="A110" s="18" t="s">
        <v>222</v>
      </c>
      <c r="B110" s="19">
        <v>2162114.9</v>
      </c>
      <c r="C110" s="19">
        <v>1199973.6000000001</v>
      </c>
      <c r="D110" s="19">
        <v>458406.6</v>
      </c>
      <c r="E110" s="19">
        <v>451208.2</v>
      </c>
      <c r="F110" s="19">
        <v>506737.9</v>
      </c>
      <c r="G110" s="19">
        <v>468569.2</v>
      </c>
      <c r="H110" s="19">
        <v>610414.60692997102</v>
      </c>
      <c r="I110" s="20">
        <v>79.900000000000006</v>
      </c>
      <c r="J110" s="21">
        <v>68.5880698311814</v>
      </c>
      <c r="K110" s="21">
        <v>69.518564818553799</v>
      </c>
      <c r="L110" s="21">
        <v>64.859770622885605</v>
      </c>
      <c r="M110" s="21">
        <v>70.931849734565901</v>
      </c>
      <c r="N110" s="21">
        <v>81.721337980791702</v>
      </c>
      <c r="O110" s="21">
        <v>81.829730668034003</v>
      </c>
      <c r="P110" s="21">
        <v>71.298039346143796</v>
      </c>
      <c r="Q110" s="21">
        <v>60.056771496493703</v>
      </c>
      <c r="R110" s="21">
        <v>20.9033333333333</v>
      </c>
      <c r="S110" s="21">
        <v>76.838507333333297</v>
      </c>
      <c r="T110" s="22">
        <v>58.54</v>
      </c>
      <c r="U110" s="19">
        <v>721121.68573546002</v>
      </c>
      <c r="V110" s="19">
        <v>150276.651882815</v>
      </c>
      <c r="W110" s="19">
        <v>133550.32999999999</v>
      </c>
      <c r="X110" s="19">
        <v>111040</v>
      </c>
      <c r="Y110" s="21">
        <v>11.130353034387699</v>
      </c>
      <c r="Z110" s="19">
        <v>56025358</v>
      </c>
      <c r="AA110" s="22">
        <v>0.33352607011563601</v>
      </c>
      <c r="AB110" s="22">
        <v>5.39962488850054</v>
      </c>
      <c r="AC110" s="20">
        <v>16.1895137211567</v>
      </c>
      <c r="AD110" s="20">
        <v>38.591719485308801</v>
      </c>
      <c r="AE110" s="20">
        <v>1.02661393977472</v>
      </c>
      <c r="AF110" s="20">
        <v>0.78480615288023903</v>
      </c>
      <c r="AG110" s="20">
        <v>5</v>
      </c>
      <c r="AH110" s="20">
        <v>7.2766666666666699</v>
      </c>
      <c r="AI110" s="21">
        <f t="shared" si="1"/>
        <v>2.2766666666666699</v>
      </c>
      <c r="AJ110" s="21">
        <v>1403713</v>
      </c>
      <c r="AK110" s="21">
        <v>3430659</v>
      </c>
      <c r="AL110" s="21">
        <v>4002704</v>
      </c>
      <c r="AM110" s="20">
        <v>660.59289999999999</v>
      </c>
      <c r="AN110" s="19">
        <v>7658536.6547702402</v>
      </c>
      <c r="AO110" s="21">
        <v>11914.063</v>
      </c>
      <c r="AP110" s="21">
        <v>157.30000000000001</v>
      </c>
      <c r="AQ110" s="21">
        <v>128.167</v>
      </c>
      <c r="AR110" s="22">
        <v>1.43E-2</v>
      </c>
      <c r="AS110" s="22">
        <v>0.69189384460449199</v>
      </c>
      <c r="AT110" s="20">
        <v>92.7</v>
      </c>
      <c r="AU110" s="20">
        <v>-14.8</v>
      </c>
    </row>
    <row r="111" spans="1:47" ht="16" customHeight="1" x14ac:dyDescent="0.2">
      <c r="A111" s="18" t="s">
        <v>223</v>
      </c>
      <c r="B111" s="19">
        <v>2174128</v>
      </c>
      <c r="C111" s="19">
        <v>1201644.5</v>
      </c>
      <c r="D111" s="19">
        <v>459259.5</v>
      </c>
      <c r="E111" s="19">
        <v>451227.9</v>
      </c>
      <c r="F111" s="19">
        <v>523241.4</v>
      </c>
      <c r="G111" s="19">
        <v>482422.9</v>
      </c>
      <c r="H111" s="19">
        <v>616521.03883801005</v>
      </c>
      <c r="I111" s="20">
        <v>79.400000000000006</v>
      </c>
      <c r="J111" s="21">
        <v>68.840570412526702</v>
      </c>
      <c r="K111" s="21">
        <v>69.805077120105594</v>
      </c>
      <c r="L111" s="21">
        <v>65.325241094455194</v>
      </c>
      <c r="M111" s="21">
        <v>70.906182410821103</v>
      </c>
      <c r="N111" s="21">
        <v>82.065090480696995</v>
      </c>
      <c r="O111" s="21">
        <v>82.420329471907905</v>
      </c>
      <c r="P111" s="21">
        <v>71.554160131611795</v>
      </c>
      <c r="Q111" s="21">
        <v>64.059204029157399</v>
      </c>
      <c r="R111" s="21">
        <v>23.566666666666698</v>
      </c>
      <c r="S111" s="21">
        <v>75.108288000000002</v>
      </c>
      <c r="T111" s="22">
        <v>58.63</v>
      </c>
      <c r="U111" s="19">
        <v>726080.23597270495</v>
      </c>
      <c r="V111" s="19">
        <v>150432.04935086399</v>
      </c>
      <c r="W111" s="19">
        <v>133729.75</v>
      </c>
      <c r="X111" s="19">
        <v>111232.03</v>
      </c>
      <c r="Y111" s="21">
        <v>11.102886268542299</v>
      </c>
      <c r="Z111" s="19">
        <v>56131683</v>
      </c>
      <c r="AA111" s="22">
        <v>0.33396388619837702</v>
      </c>
      <c r="AB111" s="22">
        <v>5.4294593085884397</v>
      </c>
      <c r="AC111" s="20">
        <v>16.257624051491899</v>
      </c>
      <c r="AD111" s="20">
        <v>38.732635185729201</v>
      </c>
      <c r="AE111" s="20">
        <v>1.03461262034269</v>
      </c>
      <c r="AF111" s="20">
        <v>0.79245582058800201</v>
      </c>
      <c r="AG111" s="20">
        <v>4.5866666666666696</v>
      </c>
      <c r="AH111" s="20">
        <v>6.4733333333333301</v>
      </c>
      <c r="AI111" s="21">
        <f t="shared" si="1"/>
        <v>1.8866666666666605</v>
      </c>
      <c r="AJ111" s="21">
        <v>1458860</v>
      </c>
      <c r="AK111" s="21">
        <v>3485231</v>
      </c>
      <c r="AL111" s="21">
        <v>4037575</v>
      </c>
      <c r="AM111" s="20">
        <v>727.21720000000005</v>
      </c>
      <c r="AN111" s="19">
        <v>7740005.9243013198</v>
      </c>
      <c r="AO111" s="21">
        <v>12037.775</v>
      </c>
      <c r="AP111" s="21">
        <v>158.667</v>
      </c>
      <c r="AQ111" s="21">
        <v>128.43299999999999</v>
      </c>
      <c r="AR111" s="22">
        <v>1.9599999999999999E-2</v>
      </c>
      <c r="AS111" s="22">
        <v>0.51123502095540396</v>
      </c>
      <c r="AT111" s="20">
        <v>98.7</v>
      </c>
      <c r="AU111" s="20">
        <v>-10.4</v>
      </c>
    </row>
    <row r="112" spans="1:47" ht="16" customHeight="1" x14ac:dyDescent="0.2">
      <c r="A112" s="18" t="s">
        <v>224</v>
      </c>
      <c r="B112" s="19">
        <v>2180536.9</v>
      </c>
      <c r="C112" s="19">
        <v>1206948.8999999999</v>
      </c>
      <c r="D112" s="19">
        <v>459665.8</v>
      </c>
      <c r="E112" s="19">
        <v>447639.8</v>
      </c>
      <c r="F112" s="19">
        <v>536400.5</v>
      </c>
      <c r="G112" s="19">
        <v>494075.8</v>
      </c>
      <c r="H112" s="19">
        <v>615746.89731008001</v>
      </c>
      <c r="I112" s="20">
        <v>80.900000000000006</v>
      </c>
      <c r="J112" s="21">
        <v>69.086442939536497</v>
      </c>
      <c r="K112" s="21">
        <v>70.150488622781594</v>
      </c>
      <c r="L112" s="21">
        <v>65.659998843195496</v>
      </c>
      <c r="M112" s="21">
        <v>71.316216322938402</v>
      </c>
      <c r="N112" s="21">
        <v>82.666647019186797</v>
      </c>
      <c r="O112" s="21">
        <v>83.347643703862502</v>
      </c>
      <c r="P112" s="21">
        <v>72.046444237765002</v>
      </c>
      <c r="Q112" s="21">
        <v>63.311849536249298</v>
      </c>
      <c r="R112" s="21">
        <v>21.1733333333333</v>
      </c>
      <c r="S112" s="21">
        <v>81.516059999999996</v>
      </c>
      <c r="T112" s="22">
        <v>58.27</v>
      </c>
      <c r="U112" s="19">
        <v>732281.70194834599</v>
      </c>
      <c r="V112" s="19">
        <v>150731.27432662901</v>
      </c>
      <c r="W112" s="19">
        <v>134021.73000000001</v>
      </c>
      <c r="X112" s="19">
        <v>111571.68</v>
      </c>
      <c r="Y112" s="21">
        <v>11.085651867057001</v>
      </c>
      <c r="Z112" s="19">
        <v>56046498</v>
      </c>
      <c r="AA112" s="22">
        <v>0.33582632880385799</v>
      </c>
      <c r="AB112" s="22">
        <v>5.4639027712024397</v>
      </c>
      <c r="AC112" s="20">
        <v>16.2700250175848</v>
      </c>
      <c r="AD112" s="20">
        <v>38.905854563830196</v>
      </c>
      <c r="AE112" s="20">
        <v>1.07413423885237</v>
      </c>
      <c r="AF112" s="20">
        <v>0.84817642069550503</v>
      </c>
      <c r="AG112" s="20">
        <v>4.4400000000000004</v>
      </c>
      <c r="AH112" s="20">
        <v>6.2033333333333296</v>
      </c>
      <c r="AI112" s="21">
        <f t="shared" si="1"/>
        <v>1.7633333333333292</v>
      </c>
      <c r="AJ112" s="21">
        <v>1462135</v>
      </c>
      <c r="AK112" s="21">
        <v>3496684</v>
      </c>
      <c r="AL112" s="21">
        <v>4061573</v>
      </c>
      <c r="AM112" s="20">
        <v>785.09559999999999</v>
      </c>
      <c r="AN112" s="19">
        <v>7782678.5794510702</v>
      </c>
      <c r="AO112" s="21">
        <v>12115.472</v>
      </c>
      <c r="AP112" s="21">
        <v>159.63300000000001</v>
      </c>
      <c r="AQ112" s="21">
        <v>128.5</v>
      </c>
      <c r="AR112" s="22">
        <v>2.23E-2</v>
      </c>
      <c r="AS112" s="22">
        <v>0.42780375162760398</v>
      </c>
      <c r="AT112" s="20">
        <v>100.4</v>
      </c>
      <c r="AU112" s="20">
        <v>-7.8</v>
      </c>
    </row>
    <row r="113" spans="1:47" ht="16" customHeight="1" x14ac:dyDescent="0.2">
      <c r="A113" s="18" t="s">
        <v>225</v>
      </c>
      <c r="B113" s="19">
        <v>2206659.4</v>
      </c>
      <c r="C113" s="19">
        <v>1215149.1000000001</v>
      </c>
      <c r="D113" s="19">
        <v>463546.5</v>
      </c>
      <c r="E113" s="19">
        <v>455929.5</v>
      </c>
      <c r="F113" s="19">
        <v>554269.19999999995</v>
      </c>
      <c r="G113" s="19">
        <v>508435.5</v>
      </c>
      <c r="H113" s="19">
        <v>632347.24295704905</v>
      </c>
      <c r="I113" s="20">
        <v>81.099999999999994</v>
      </c>
      <c r="J113" s="21">
        <v>69.356151264258997</v>
      </c>
      <c r="K113" s="21">
        <v>70.305878083906293</v>
      </c>
      <c r="L113" s="21">
        <v>65.741575589509196</v>
      </c>
      <c r="M113" s="21">
        <v>71.473505736078394</v>
      </c>
      <c r="N113" s="21">
        <v>83.022748958612198</v>
      </c>
      <c r="O113" s="21">
        <v>83.4400439560347</v>
      </c>
      <c r="P113" s="21">
        <v>72.2859338030553</v>
      </c>
      <c r="Q113" s="21">
        <v>58.025704820115898</v>
      </c>
      <c r="R113" s="21">
        <v>18.053333333333299</v>
      </c>
      <c r="S113" s="21">
        <v>82.606440000000006</v>
      </c>
      <c r="T113" s="22">
        <v>59.2</v>
      </c>
      <c r="U113" s="19">
        <v>737214.19659882202</v>
      </c>
      <c r="V113" s="19">
        <v>151230.60551366699</v>
      </c>
      <c r="W113" s="19">
        <v>134413.5</v>
      </c>
      <c r="X113" s="19">
        <v>111914.54</v>
      </c>
      <c r="Y113" s="21">
        <v>11.1201733647406</v>
      </c>
      <c r="Z113" s="19">
        <v>56263899</v>
      </c>
      <c r="AA113" s="22">
        <v>0.33408608351557201</v>
      </c>
      <c r="AB113" s="22">
        <v>5.4846737611833802</v>
      </c>
      <c r="AC113" s="20">
        <v>16.416947702425698</v>
      </c>
      <c r="AD113" s="20">
        <v>39.219809490984602</v>
      </c>
      <c r="AE113" s="20">
        <v>1.096326939311</v>
      </c>
      <c r="AF113" s="20">
        <v>0.87450808919982503</v>
      </c>
      <c r="AG113" s="20">
        <v>4.3266666666666698</v>
      </c>
      <c r="AH113" s="20">
        <v>6.22</v>
      </c>
      <c r="AI113" s="21">
        <f t="shared" si="1"/>
        <v>1.89333333333333</v>
      </c>
      <c r="AJ113" s="21">
        <v>1497996</v>
      </c>
      <c r="AK113" s="21">
        <v>3533982</v>
      </c>
      <c r="AL113" s="21">
        <v>4121578</v>
      </c>
      <c r="AM113" s="20">
        <v>824.64599999999996</v>
      </c>
      <c r="AN113" s="19">
        <v>7894762.0150781404</v>
      </c>
      <c r="AO113" s="21">
        <v>12317.221</v>
      </c>
      <c r="AP113" s="21">
        <v>160</v>
      </c>
      <c r="AQ113" s="21">
        <v>127.2</v>
      </c>
      <c r="AR113" s="22">
        <v>1.78E-2</v>
      </c>
      <c r="AS113" s="22">
        <v>0.40197393417358401</v>
      </c>
      <c r="AT113" s="20">
        <v>102.1</v>
      </c>
      <c r="AU113" s="20">
        <v>-6</v>
      </c>
    </row>
    <row r="114" spans="1:47" ht="16" customHeight="1" x14ac:dyDescent="0.2">
      <c r="A114" s="18" t="s">
        <v>226</v>
      </c>
      <c r="B114" s="19">
        <v>2224077.4</v>
      </c>
      <c r="C114" s="19">
        <v>1221807.7</v>
      </c>
      <c r="D114" s="19">
        <v>464753.3</v>
      </c>
      <c r="E114" s="19">
        <v>457792.4</v>
      </c>
      <c r="F114" s="19">
        <v>574399</v>
      </c>
      <c r="G114" s="19">
        <v>524185.1</v>
      </c>
      <c r="H114" s="19">
        <v>640838.672619825</v>
      </c>
      <c r="I114" s="20">
        <v>81.8</v>
      </c>
      <c r="J114" s="21">
        <v>69.633503353671102</v>
      </c>
      <c r="K114" s="21">
        <v>70.878117076987394</v>
      </c>
      <c r="L114" s="21">
        <v>65.936525283376696</v>
      </c>
      <c r="M114" s="21">
        <v>71.789604548693902</v>
      </c>
      <c r="N114" s="21">
        <v>83.405842321091896</v>
      </c>
      <c r="O114" s="21">
        <v>84.305219985669893</v>
      </c>
      <c r="P114" s="21">
        <v>72.522097124452401</v>
      </c>
      <c r="Q114" s="21">
        <v>57.966386780626102</v>
      </c>
      <c r="R114" s="21">
        <v>18.5066666666667</v>
      </c>
      <c r="S114" s="21">
        <v>79.690636999999995</v>
      </c>
      <c r="T114" s="22">
        <v>59.68</v>
      </c>
      <c r="U114" s="19">
        <v>743403.09386988205</v>
      </c>
      <c r="V114" s="19">
        <v>151516.915221698</v>
      </c>
      <c r="W114" s="19">
        <v>134841.76</v>
      </c>
      <c r="X114" s="19">
        <v>112353.76</v>
      </c>
      <c r="Y114" s="21">
        <v>11.005474337501701</v>
      </c>
      <c r="Z114" s="19">
        <v>56473404</v>
      </c>
      <c r="AA114" s="22">
        <v>0.33425234835347101</v>
      </c>
      <c r="AB114" s="22">
        <v>5.5131518149116596</v>
      </c>
      <c r="AC114" s="20">
        <v>16.493980796453599</v>
      </c>
      <c r="AD114" s="20">
        <v>39.382740236448299</v>
      </c>
      <c r="AE114" s="20">
        <v>1.12625168796972</v>
      </c>
      <c r="AF114" s="20">
        <v>0.91466203237903598</v>
      </c>
      <c r="AG114" s="20">
        <v>4.3233333333333297</v>
      </c>
      <c r="AH114" s="20">
        <v>5.81</v>
      </c>
      <c r="AI114" s="21">
        <f t="shared" si="1"/>
        <v>1.4866666666666699</v>
      </c>
      <c r="AJ114" s="21">
        <v>1529659</v>
      </c>
      <c r="AK114" s="21">
        <v>3570962</v>
      </c>
      <c r="AL114" s="21">
        <v>4169047</v>
      </c>
      <c r="AM114" s="20">
        <v>929.32770000000005</v>
      </c>
      <c r="AN114" s="19">
        <v>7984731.2783940397</v>
      </c>
      <c r="AO114" s="21">
        <v>12471.01</v>
      </c>
      <c r="AP114" s="21">
        <v>160.80000000000001</v>
      </c>
      <c r="AQ114" s="21">
        <v>127.2</v>
      </c>
      <c r="AR114" s="22">
        <v>2.86E-2</v>
      </c>
      <c r="AS114" s="22">
        <v>0.34035684585571302</v>
      </c>
      <c r="AT114" s="20">
        <v>106.1</v>
      </c>
      <c r="AU114" s="20">
        <v>-1.1000000000000001</v>
      </c>
    </row>
    <row r="115" spans="1:47" ht="16" customHeight="1" x14ac:dyDescent="0.2">
      <c r="A115" s="18" t="s">
        <v>227</v>
      </c>
      <c r="B115" s="19">
        <v>2247453.2000000002</v>
      </c>
      <c r="C115" s="19">
        <v>1236865.3999999999</v>
      </c>
      <c r="D115" s="19">
        <v>462525.1</v>
      </c>
      <c r="E115" s="19">
        <v>467926</v>
      </c>
      <c r="F115" s="19">
        <v>583185.5</v>
      </c>
      <c r="G115" s="19">
        <v>536985.30000000005</v>
      </c>
      <c r="H115" s="19">
        <v>657045.62565172499</v>
      </c>
      <c r="I115" s="20">
        <v>82.2</v>
      </c>
      <c r="J115" s="21">
        <v>69.939182782401701</v>
      </c>
      <c r="K115" s="21">
        <v>71.113072055227306</v>
      </c>
      <c r="L115" s="21">
        <v>66.321941278127397</v>
      </c>
      <c r="M115" s="21">
        <v>71.980696970239094</v>
      </c>
      <c r="N115" s="21">
        <v>83.754092887626499</v>
      </c>
      <c r="O115" s="21">
        <v>84.164653473896607</v>
      </c>
      <c r="P115" s="21">
        <v>72.748281714170105</v>
      </c>
      <c r="Q115" s="21">
        <v>57.752813313430998</v>
      </c>
      <c r="R115" s="21">
        <v>18.739999999999998</v>
      </c>
      <c r="S115" s="21">
        <v>77.185069333333303</v>
      </c>
      <c r="T115" s="22">
        <v>59.92</v>
      </c>
      <c r="U115" s="19">
        <v>749161.74427751906</v>
      </c>
      <c r="V115" s="19">
        <v>151900.01488606501</v>
      </c>
      <c r="W115" s="19">
        <v>135300.21</v>
      </c>
      <c r="X115" s="19">
        <v>112847.8</v>
      </c>
      <c r="Y115" s="21">
        <v>10.9281127447658</v>
      </c>
      <c r="Z115" s="19">
        <v>56627755</v>
      </c>
      <c r="AA115" s="22">
        <v>0.33333808431584599</v>
      </c>
      <c r="AB115" s="22">
        <v>5.5370331226944796</v>
      </c>
      <c r="AC115" s="20">
        <v>16.610862614329999</v>
      </c>
      <c r="AD115" s="20">
        <v>39.688191770978698</v>
      </c>
      <c r="AE115" s="20">
        <v>1.0763416868211599</v>
      </c>
      <c r="AF115" s="20">
        <v>0.89015488695032896</v>
      </c>
      <c r="AG115" s="20">
        <v>4.43333333333333</v>
      </c>
      <c r="AH115" s="20">
        <v>5.6</v>
      </c>
      <c r="AI115" s="21">
        <f t="shared" si="1"/>
        <v>1.1666666666666696</v>
      </c>
      <c r="AJ115" s="21">
        <v>1566011</v>
      </c>
      <c r="AK115" s="21">
        <v>3615677</v>
      </c>
      <c r="AL115" s="21">
        <v>4222019</v>
      </c>
      <c r="AM115" s="20">
        <v>950.59810000000004</v>
      </c>
      <c r="AN115" s="19">
        <v>8044757.2457475904</v>
      </c>
      <c r="AO115" s="21">
        <v>12577.495000000001</v>
      </c>
      <c r="AP115" s="21">
        <v>161.667</v>
      </c>
      <c r="AQ115" s="21">
        <v>127.5</v>
      </c>
      <c r="AR115" s="22">
        <v>3.44E-2</v>
      </c>
      <c r="AS115" s="22">
        <v>0.41679005940755198</v>
      </c>
      <c r="AT115" s="20">
        <v>109.8</v>
      </c>
      <c r="AU115" s="20">
        <v>1.9</v>
      </c>
    </row>
    <row r="116" spans="1:47" ht="16" customHeight="1" x14ac:dyDescent="0.2">
      <c r="A116" s="18" t="s">
        <v>228</v>
      </c>
      <c r="B116" s="19">
        <v>2263232</v>
      </c>
      <c r="C116" s="19">
        <v>1244095.3</v>
      </c>
      <c r="D116" s="19">
        <v>468569</v>
      </c>
      <c r="E116" s="19">
        <v>476993.6</v>
      </c>
      <c r="F116" s="19">
        <v>594806.19999999995</v>
      </c>
      <c r="G116" s="19">
        <v>555076</v>
      </c>
      <c r="H116" s="19">
        <v>660606.44693996897</v>
      </c>
      <c r="I116" s="20">
        <v>83</v>
      </c>
      <c r="J116" s="21">
        <v>70.166892061851001</v>
      </c>
      <c r="K116" s="21">
        <v>71.131143873044195</v>
      </c>
      <c r="L116" s="21">
        <v>66.430197103082904</v>
      </c>
      <c r="M116" s="21">
        <v>71.975960154613105</v>
      </c>
      <c r="N116" s="21">
        <v>83.730158816369197</v>
      </c>
      <c r="O116" s="21">
        <v>83.823778104847506</v>
      </c>
      <c r="P116" s="21">
        <v>72.934551375746196</v>
      </c>
      <c r="Q116" s="21">
        <v>48.076539187581403</v>
      </c>
      <c r="R116" s="21">
        <v>14.12</v>
      </c>
      <c r="S116" s="21">
        <v>74.232062666666707</v>
      </c>
      <c r="T116" s="22">
        <v>59.65</v>
      </c>
      <c r="U116" s="19">
        <v>753151.02074556204</v>
      </c>
      <c r="V116" s="19">
        <v>152390.76692405299</v>
      </c>
      <c r="W116" s="19">
        <v>135987.31</v>
      </c>
      <c r="X116" s="19">
        <v>113434.31</v>
      </c>
      <c r="Y116" s="21">
        <v>10.7640753145026</v>
      </c>
      <c r="Z116" s="19">
        <v>56809171</v>
      </c>
      <c r="AA116" s="22">
        <v>0.33277676382516802</v>
      </c>
      <c r="AB116" s="22">
        <v>5.53839193337644</v>
      </c>
      <c r="AC116" s="20">
        <v>16.6429647001621</v>
      </c>
      <c r="AD116" s="20">
        <v>39.839201314872199</v>
      </c>
      <c r="AE116" s="20">
        <v>1.0766070513455399</v>
      </c>
      <c r="AF116" s="20">
        <v>0.92013249907986705</v>
      </c>
      <c r="AG116" s="20">
        <v>4.2033333333333296</v>
      </c>
      <c r="AH116" s="20">
        <v>5.1166666666666698</v>
      </c>
      <c r="AI116" s="21">
        <f t="shared" si="1"/>
        <v>0.91333333333334021</v>
      </c>
      <c r="AJ116" s="21">
        <v>1606018</v>
      </c>
      <c r="AK116" s="21">
        <v>3666674</v>
      </c>
      <c r="AL116" s="21">
        <v>4267921</v>
      </c>
      <c r="AM116" s="20">
        <v>1021.3271</v>
      </c>
      <c r="AN116" s="19">
        <v>8105898.60480987</v>
      </c>
      <c r="AO116" s="21">
        <v>12703.742</v>
      </c>
      <c r="AP116" s="21">
        <v>162</v>
      </c>
      <c r="AQ116" s="21">
        <v>125.033</v>
      </c>
      <c r="AR116" s="22">
        <v>0.02</v>
      </c>
      <c r="AS116" s="22">
        <v>0.46965321858724002</v>
      </c>
      <c r="AT116" s="20">
        <v>111.5</v>
      </c>
      <c r="AU116" s="20">
        <v>2.9</v>
      </c>
    </row>
    <row r="117" spans="1:47" ht="16" customHeight="1" x14ac:dyDescent="0.2">
      <c r="A117" s="18" t="s">
        <v>229</v>
      </c>
      <c r="B117" s="19">
        <v>2272349.2999999998</v>
      </c>
      <c r="C117" s="19">
        <v>1251861.5</v>
      </c>
      <c r="D117" s="19">
        <v>471138.1</v>
      </c>
      <c r="E117" s="19">
        <v>478540.1</v>
      </c>
      <c r="F117" s="19">
        <v>604084.19999999995</v>
      </c>
      <c r="G117" s="19">
        <v>563328.30000000005</v>
      </c>
      <c r="H117" s="19">
        <v>663763.29162642604</v>
      </c>
      <c r="I117" s="20">
        <v>83.2</v>
      </c>
      <c r="J117" s="21">
        <v>70.593992890228407</v>
      </c>
      <c r="K117" s="21">
        <v>71.378170569154406</v>
      </c>
      <c r="L117" s="21">
        <v>66.667628358976401</v>
      </c>
      <c r="M117" s="21">
        <v>72.137266139174301</v>
      </c>
      <c r="N117" s="21">
        <v>83.294851634330698</v>
      </c>
      <c r="O117" s="21">
        <v>82.828180848398006</v>
      </c>
      <c r="P117" s="21">
        <v>73.356984359431294</v>
      </c>
      <c r="Q117" s="21">
        <v>45.406751141072299</v>
      </c>
      <c r="R117" s="21">
        <v>13.366666666666699</v>
      </c>
      <c r="S117" s="21">
        <v>72.021180000000001</v>
      </c>
      <c r="T117" s="22">
        <v>60.37</v>
      </c>
      <c r="U117" s="19">
        <v>761526.86527332803</v>
      </c>
      <c r="V117" s="19">
        <v>153002.82852044801</v>
      </c>
      <c r="W117" s="19">
        <v>136676.66</v>
      </c>
      <c r="X117" s="19">
        <v>114094</v>
      </c>
      <c r="Y117" s="21">
        <v>10.670501113165001</v>
      </c>
      <c r="Z117" s="19">
        <v>57199569</v>
      </c>
      <c r="AA117" s="22">
        <v>0.33512755511370002</v>
      </c>
      <c r="AB117" s="22">
        <v>5.5717403781547503</v>
      </c>
      <c r="AC117" s="20">
        <v>16.625730391714299</v>
      </c>
      <c r="AD117" s="20">
        <v>39.726685702824099</v>
      </c>
      <c r="AE117" s="20">
        <v>1.0583963108538199</v>
      </c>
      <c r="AF117" s="20">
        <v>0.90876045074518397</v>
      </c>
      <c r="AG117" s="20">
        <v>4.0566666666666702</v>
      </c>
      <c r="AH117" s="20">
        <v>4.99</v>
      </c>
      <c r="AI117" s="21">
        <f t="shared" si="1"/>
        <v>0.93333333333333002</v>
      </c>
      <c r="AJ117" s="21">
        <v>1657166</v>
      </c>
      <c r="AK117" s="21">
        <v>3742800</v>
      </c>
      <c r="AL117" s="21">
        <v>4340943</v>
      </c>
      <c r="AM117" s="20">
        <v>1109.6769999999999</v>
      </c>
      <c r="AN117" s="19">
        <v>8169588.27375367</v>
      </c>
      <c r="AO117" s="21">
        <v>12821.339</v>
      </c>
      <c r="AP117" s="21">
        <v>162.53299999999999</v>
      </c>
      <c r="AQ117" s="21">
        <v>124.93300000000001</v>
      </c>
      <c r="AR117" s="22">
        <v>9.7000000000000003E-3</v>
      </c>
      <c r="AS117" s="22">
        <v>0.53973700205484998</v>
      </c>
      <c r="AT117" s="20">
        <v>111</v>
      </c>
      <c r="AU117" s="20">
        <v>1.9</v>
      </c>
    </row>
    <row r="118" spans="1:47" ht="16" customHeight="1" x14ac:dyDescent="0.2">
      <c r="A118" s="18" t="s">
        <v>230</v>
      </c>
      <c r="B118" s="19">
        <v>2284350.5</v>
      </c>
      <c r="C118" s="19">
        <v>1264500.1000000001</v>
      </c>
      <c r="D118" s="19">
        <v>472363.7</v>
      </c>
      <c r="E118" s="19">
        <v>486164.1</v>
      </c>
      <c r="F118" s="19">
        <v>604521.4</v>
      </c>
      <c r="G118" s="19">
        <v>571353.5</v>
      </c>
      <c r="H118" s="19">
        <v>666103.91037604294</v>
      </c>
      <c r="I118" s="20">
        <v>82.9</v>
      </c>
      <c r="J118" s="21">
        <v>70.749244715101696</v>
      </c>
      <c r="K118" s="21">
        <v>71.593764774400299</v>
      </c>
      <c r="L118" s="21">
        <v>66.814535478593001</v>
      </c>
      <c r="M118" s="21">
        <v>72.251156128635898</v>
      </c>
      <c r="N118" s="21">
        <v>82.607033357485804</v>
      </c>
      <c r="O118" s="21">
        <v>81.764297865821007</v>
      </c>
      <c r="P118" s="21">
        <v>73.436814214290806</v>
      </c>
      <c r="Q118" s="21">
        <v>42.240155235980701</v>
      </c>
      <c r="R118" s="21">
        <v>12.4433333333333</v>
      </c>
      <c r="S118" s="21">
        <v>67.188672666666704</v>
      </c>
      <c r="T118" s="22">
        <v>61.26</v>
      </c>
      <c r="U118" s="19">
        <v>770848.41299642599</v>
      </c>
      <c r="V118" s="19">
        <v>153632.651829326</v>
      </c>
      <c r="W118" s="19">
        <v>137485.88</v>
      </c>
      <c r="X118" s="19">
        <v>114851.2</v>
      </c>
      <c r="Y118" s="21">
        <v>10.509987061385701</v>
      </c>
      <c r="Z118" s="19">
        <v>57589080</v>
      </c>
      <c r="AA118" s="22">
        <v>0.33744752085830398</v>
      </c>
      <c r="AB118" s="22">
        <v>5.6067460381853502</v>
      </c>
      <c r="AC118" s="20">
        <v>16.615164408155898</v>
      </c>
      <c r="AD118" s="20">
        <v>39.666382932319799</v>
      </c>
      <c r="AE118" s="20">
        <v>1.0223562038959999</v>
      </c>
      <c r="AF118" s="20">
        <v>0.89469446184128099</v>
      </c>
      <c r="AG118" s="20">
        <v>3.9366666666666701</v>
      </c>
      <c r="AH118" s="20">
        <v>4.5599999999999996</v>
      </c>
      <c r="AI118" s="21">
        <f t="shared" si="1"/>
        <v>0.62333333333332952</v>
      </c>
      <c r="AJ118" s="21">
        <v>1668328</v>
      </c>
      <c r="AK118" s="21">
        <v>3756213</v>
      </c>
      <c r="AL118" s="21">
        <v>4371401</v>
      </c>
      <c r="AM118" s="20">
        <v>1083.0902000000001</v>
      </c>
      <c r="AN118" s="19">
        <v>8269525.8549904795</v>
      </c>
      <c r="AO118" s="21">
        <v>12982.752</v>
      </c>
      <c r="AP118" s="21">
        <v>163.36699999999999</v>
      </c>
      <c r="AQ118" s="21">
        <v>124.3</v>
      </c>
      <c r="AR118" s="22">
        <v>0.108</v>
      </c>
      <c r="AS118" s="22">
        <v>0.57358913421630897</v>
      </c>
      <c r="AT118" s="20">
        <v>112.7</v>
      </c>
      <c r="AU118" s="20">
        <v>0.1</v>
      </c>
    </row>
    <row r="119" spans="1:47" ht="16" customHeight="1" x14ac:dyDescent="0.2">
      <c r="A119" s="18" t="s">
        <v>231</v>
      </c>
      <c r="B119" s="19">
        <v>2291287.2999999998</v>
      </c>
      <c r="C119" s="19">
        <v>1276981.6000000001</v>
      </c>
      <c r="D119" s="19">
        <v>473572.5</v>
      </c>
      <c r="E119" s="19">
        <v>490269.3</v>
      </c>
      <c r="F119" s="19">
        <v>601550.80000000005</v>
      </c>
      <c r="G119" s="19">
        <v>579350.1</v>
      </c>
      <c r="H119" s="19">
        <v>664602.21684216999</v>
      </c>
      <c r="I119" s="20">
        <v>82.1</v>
      </c>
      <c r="J119" s="21">
        <v>71.0516935720932</v>
      </c>
      <c r="K119" s="21">
        <v>71.675903171137804</v>
      </c>
      <c r="L119" s="21">
        <v>67.167009576687306</v>
      </c>
      <c r="M119" s="21">
        <v>72.425537455768506</v>
      </c>
      <c r="N119" s="21">
        <v>81.863141024533505</v>
      </c>
      <c r="O119" s="21">
        <v>80.534082165559994</v>
      </c>
      <c r="P119" s="21">
        <v>73.426835482611295</v>
      </c>
      <c r="Q119" s="21">
        <v>38.707698127372197</v>
      </c>
      <c r="R119" s="21">
        <v>11.186666666666699</v>
      </c>
      <c r="S119" s="21">
        <v>63.969949999999997</v>
      </c>
      <c r="T119" s="22">
        <v>61.69</v>
      </c>
      <c r="U119" s="19">
        <v>778895.81827187305</v>
      </c>
      <c r="V119" s="19">
        <v>154034.97512735199</v>
      </c>
      <c r="W119" s="19">
        <v>138072.85</v>
      </c>
      <c r="X119" s="19">
        <v>115446.69</v>
      </c>
      <c r="Y119" s="21">
        <v>10.362662839498</v>
      </c>
      <c r="Z119" s="19">
        <v>57520131</v>
      </c>
      <c r="AA119" s="22">
        <v>0.33993808557830102</v>
      </c>
      <c r="AB119" s="22">
        <v>5.6411946177099503</v>
      </c>
      <c r="AC119" s="20">
        <v>16.5947708039633</v>
      </c>
      <c r="AD119" s="20">
        <v>39.834528540972897</v>
      </c>
      <c r="AE119" s="20">
        <v>0.97907232896830299</v>
      </c>
      <c r="AF119" s="20">
        <v>0.84961767204757899</v>
      </c>
      <c r="AG119" s="20">
        <v>3.62333333333333</v>
      </c>
      <c r="AH119" s="20">
        <v>4.1466666666666701</v>
      </c>
      <c r="AI119" s="21">
        <f t="shared" si="1"/>
        <v>0.52333333333334009</v>
      </c>
      <c r="AJ119" s="21">
        <v>1726398</v>
      </c>
      <c r="AK119" s="21">
        <v>3848054</v>
      </c>
      <c r="AL119" s="21">
        <v>4422982</v>
      </c>
      <c r="AM119" s="20">
        <v>1123.5165999999999</v>
      </c>
      <c r="AN119" s="19">
        <v>8404045.20475729</v>
      </c>
      <c r="AO119" s="21">
        <v>13191.67</v>
      </c>
      <c r="AP119" s="21">
        <v>164.13300000000001</v>
      </c>
      <c r="AQ119" s="21">
        <v>123.467</v>
      </c>
      <c r="AR119" s="22">
        <v>0.26</v>
      </c>
      <c r="AS119" s="22">
        <v>0.488702430725098</v>
      </c>
      <c r="AT119" s="20">
        <v>108.6</v>
      </c>
      <c r="AU119" s="20">
        <v>-8</v>
      </c>
    </row>
    <row r="120" spans="1:47" ht="16" customHeight="1" x14ac:dyDescent="0.2">
      <c r="A120" s="18" t="s">
        <v>232</v>
      </c>
      <c r="B120" s="19">
        <v>2314229</v>
      </c>
      <c r="C120" s="19">
        <v>1285372.1000000001</v>
      </c>
      <c r="D120" s="19">
        <v>480593.8</v>
      </c>
      <c r="E120" s="19">
        <v>501138.7</v>
      </c>
      <c r="F120" s="19">
        <v>607222.1</v>
      </c>
      <c r="G120" s="19">
        <v>586619.9</v>
      </c>
      <c r="H120" s="19">
        <v>675337.109372693</v>
      </c>
      <c r="I120" s="20">
        <v>81.7</v>
      </c>
      <c r="J120" s="21">
        <v>71.078007498799096</v>
      </c>
      <c r="K120" s="21">
        <v>71.667765485872806</v>
      </c>
      <c r="L120" s="21">
        <v>67.574217427192394</v>
      </c>
      <c r="M120" s="21">
        <v>72.378244805028004</v>
      </c>
      <c r="N120" s="21">
        <v>81.692735558779106</v>
      </c>
      <c r="O120" s="21">
        <v>80.144491286836896</v>
      </c>
      <c r="P120" s="21">
        <v>73.593147680828395</v>
      </c>
      <c r="Q120" s="21">
        <v>38.343891393243602</v>
      </c>
      <c r="R120" s="21">
        <v>11.296666666666701</v>
      </c>
      <c r="S120" s="21">
        <v>62.832031999999998</v>
      </c>
      <c r="T120" s="22">
        <v>62.18</v>
      </c>
      <c r="U120" s="19">
        <v>784618.29097603005</v>
      </c>
      <c r="V120" s="19">
        <v>154270.78660639899</v>
      </c>
      <c r="W120" s="19">
        <v>138703.41</v>
      </c>
      <c r="X120" s="19">
        <v>116090.57</v>
      </c>
      <c r="Y120" s="21">
        <v>10.090942652750501</v>
      </c>
      <c r="Z120" s="19">
        <v>57600220</v>
      </c>
      <c r="AA120" s="22">
        <v>0.339040903461166</v>
      </c>
      <c r="AB120" s="22">
        <v>5.6568060653738099</v>
      </c>
      <c r="AC120" s="20">
        <v>16.6847303898296</v>
      </c>
      <c r="AD120" s="20">
        <v>40.177433350081003</v>
      </c>
      <c r="AE120" s="20">
        <v>0.99927419384387195</v>
      </c>
      <c r="AF120" s="20">
        <v>0.891583452211127</v>
      </c>
      <c r="AG120" s="20">
        <v>3.0907318840579698</v>
      </c>
      <c r="AH120" s="20">
        <v>3.99240775127674</v>
      </c>
      <c r="AI120" s="21">
        <f t="shared" si="1"/>
        <v>0.90167586721877013</v>
      </c>
      <c r="AJ120" s="21">
        <v>1806407</v>
      </c>
      <c r="AK120" s="21">
        <v>3930847</v>
      </c>
      <c r="AL120" s="21">
        <v>4453500</v>
      </c>
      <c r="AM120" s="20">
        <v>1258.3349000000001</v>
      </c>
      <c r="AN120" s="19">
        <v>8467598.6789398491</v>
      </c>
      <c r="AO120" s="21">
        <v>13315.597</v>
      </c>
      <c r="AP120" s="21">
        <v>164.733</v>
      </c>
      <c r="AQ120" s="21">
        <v>122.6</v>
      </c>
      <c r="AR120" s="22">
        <v>0.13589999999999999</v>
      </c>
      <c r="AS120" s="22">
        <v>0.537151082356771</v>
      </c>
      <c r="AT120" s="20">
        <v>105.2</v>
      </c>
      <c r="AU120" s="20">
        <v>-10.1</v>
      </c>
    </row>
    <row r="121" spans="1:47" ht="16" customHeight="1" x14ac:dyDescent="0.2">
      <c r="A121" s="18" t="s">
        <v>233</v>
      </c>
      <c r="B121" s="19">
        <v>2325378</v>
      </c>
      <c r="C121" s="19">
        <v>1296687.1000000001</v>
      </c>
      <c r="D121" s="19">
        <v>479448.9</v>
      </c>
      <c r="E121" s="19">
        <v>506695.3</v>
      </c>
      <c r="F121" s="19">
        <v>624236.19999999995</v>
      </c>
      <c r="G121" s="19">
        <v>601401.9</v>
      </c>
      <c r="H121" s="19">
        <v>673437.43034727604</v>
      </c>
      <c r="I121" s="20">
        <v>81.2</v>
      </c>
      <c r="J121" s="21">
        <v>71.288811476807197</v>
      </c>
      <c r="K121" s="21">
        <v>71.949693906584102</v>
      </c>
      <c r="L121" s="21">
        <v>68.0612615811485</v>
      </c>
      <c r="M121" s="21">
        <v>72.545655529879099</v>
      </c>
      <c r="N121" s="21">
        <v>82.029341028003898</v>
      </c>
      <c r="O121" s="21">
        <v>80.926668990984396</v>
      </c>
      <c r="P121" s="21">
        <v>74.102063007159302</v>
      </c>
      <c r="Q121" s="21">
        <v>46.7996412623826</v>
      </c>
      <c r="R121" s="21">
        <v>15.46</v>
      </c>
      <c r="S121" s="21">
        <v>63.406953999999999</v>
      </c>
      <c r="T121" s="22">
        <v>63.05</v>
      </c>
      <c r="U121" s="19">
        <v>796528.85420180904</v>
      </c>
      <c r="V121" s="19">
        <v>154709.191349617</v>
      </c>
      <c r="W121" s="19">
        <v>139287.87</v>
      </c>
      <c r="X121" s="19">
        <v>116718.1</v>
      </c>
      <c r="Y121" s="21">
        <v>9.9679412807266896</v>
      </c>
      <c r="Z121" s="19">
        <v>58214361</v>
      </c>
      <c r="AA121" s="22">
        <v>0.34253736562477599</v>
      </c>
      <c r="AB121" s="22">
        <v>5.7185801908077796</v>
      </c>
      <c r="AC121" s="20">
        <v>16.6947631548964</v>
      </c>
      <c r="AD121" s="20">
        <v>39.945091899230803</v>
      </c>
      <c r="AE121" s="20">
        <v>1.03821711819306</v>
      </c>
      <c r="AF121" s="20">
        <v>0.94616330778692403</v>
      </c>
      <c r="AG121" s="20">
        <v>2.63402958152958</v>
      </c>
      <c r="AH121" s="20">
        <v>4.2573992900432902</v>
      </c>
      <c r="AI121" s="21">
        <f t="shared" si="1"/>
        <v>1.6233697085137102</v>
      </c>
      <c r="AJ121" s="21">
        <v>1858495</v>
      </c>
      <c r="AK121" s="21">
        <v>3988595</v>
      </c>
      <c r="AL121" s="21">
        <v>4537054</v>
      </c>
      <c r="AM121" s="20">
        <v>1328.6931</v>
      </c>
      <c r="AN121" s="19">
        <v>8536323.36132944</v>
      </c>
      <c r="AO121" s="21">
        <v>13426.748</v>
      </c>
      <c r="AP121" s="21">
        <v>165.96700000000001</v>
      </c>
      <c r="AQ121" s="21">
        <v>124.5</v>
      </c>
      <c r="AR121" s="22">
        <v>0.05</v>
      </c>
      <c r="AS121" s="22">
        <v>0.73663828531901099</v>
      </c>
      <c r="AT121" s="20">
        <v>102.8</v>
      </c>
      <c r="AU121" s="20">
        <v>-10.199999999999999</v>
      </c>
    </row>
    <row r="122" spans="1:47" ht="16" customHeight="1" x14ac:dyDescent="0.2">
      <c r="A122" s="18" t="s">
        <v>234</v>
      </c>
      <c r="B122" s="19">
        <v>2355833.1</v>
      </c>
      <c r="C122" s="19">
        <v>1310396.7</v>
      </c>
      <c r="D122" s="19">
        <v>481274.6</v>
      </c>
      <c r="E122" s="19">
        <v>515703.1</v>
      </c>
      <c r="F122" s="19">
        <v>641056.9</v>
      </c>
      <c r="G122" s="19">
        <v>616853.6</v>
      </c>
      <c r="H122" s="19">
        <v>682153.30652142502</v>
      </c>
      <c r="I122" s="20">
        <v>81.5</v>
      </c>
      <c r="J122" s="21">
        <v>71.471905027163999</v>
      </c>
      <c r="K122" s="21">
        <v>72.244826299832297</v>
      </c>
      <c r="L122" s="21">
        <v>68.532485440355899</v>
      </c>
      <c r="M122" s="21">
        <v>72.890458767179197</v>
      </c>
      <c r="N122" s="21">
        <v>82.564087194290593</v>
      </c>
      <c r="O122" s="21">
        <v>82.248266100496494</v>
      </c>
      <c r="P122" s="21">
        <v>74.308290132806206</v>
      </c>
      <c r="Q122" s="21">
        <v>55.652841292635202</v>
      </c>
      <c r="R122" s="21">
        <v>20.613333333333301</v>
      </c>
      <c r="S122" s="21">
        <v>64.523853333333307</v>
      </c>
      <c r="T122" s="22">
        <v>64.510000000000005</v>
      </c>
      <c r="U122" s="19">
        <v>806673.96596560103</v>
      </c>
      <c r="V122" s="19">
        <v>155313.511270674</v>
      </c>
      <c r="W122" s="19">
        <v>140084.97</v>
      </c>
      <c r="X122" s="19">
        <v>117525.61</v>
      </c>
      <c r="Y122" s="21">
        <v>9.8050331526753602</v>
      </c>
      <c r="Z122" s="19">
        <v>58176644</v>
      </c>
      <c r="AA122" s="22">
        <v>0.34241558366999802</v>
      </c>
      <c r="AB122" s="22">
        <v>5.7584619246847204</v>
      </c>
      <c r="AC122" s="20">
        <v>16.817172463255702</v>
      </c>
      <c r="AD122" s="20">
        <v>40.494482631208498</v>
      </c>
      <c r="AE122" s="20">
        <v>1.0462250109156099</v>
      </c>
      <c r="AF122" s="20">
        <v>0.95365248903299604</v>
      </c>
      <c r="AG122" s="20">
        <v>2.6993939393939401</v>
      </c>
      <c r="AH122" s="20">
        <v>5.0506897272727302</v>
      </c>
      <c r="AI122" s="21">
        <f t="shared" si="1"/>
        <v>2.3512957878787901</v>
      </c>
      <c r="AJ122" s="21">
        <v>1886642</v>
      </c>
      <c r="AK122" s="21">
        <v>4029253</v>
      </c>
      <c r="AL122" s="21">
        <v>4594744</v>
      </c>
      <c r="AM122" s="20">
        <v>1342.9638</v>
      </c>
      <c r="AN122" s="19">
        <v>8645341.6662573107</v>
      </c>
      <c r="AO122" s="21">
        <v>13604.771000000001</v>
      </c>
      <c r="AP122" s="21">
        <v>167.2</v>
      </c>
      <c r="AQ122" s="21">
        <v>126.867</v>
      </c>
      <c r="AR122" s="22">
        <v>0.16320000000000001</v>
      </c>
      <c r="AS122" s="22">
        <v>0.478354530334473</v>
      </c>
      <c r="AT122" s="20">
        <v>105.3</v>
      </c>
      <c r="AU122" s="20">
        <v>-5.7</v>
      </c>
    </row>
    <row r="123" spans="1:47" ht="16" customHeight="1" x14ac:dyDescent="0.2">
      <c r="A123" s="18" t="s">
        <v>235</v>
      </c>
      <c r="B123" s="19">
        <v>2380649.4</v>
      </c>
      <c r="C123" s="19">
        <v>1320899.7</v>
      </c>
      <c r="D123" s="19">
        <v>486048.4</v>
      </c>
      <c r="E123" s="19">
        <v>519421.5</v>
      </c>
      <c r="F123" s="19">
        <v>661723.5</v>
      </c>
      <c r="G123" s="19">
        <v>634924.80000000005</v>
      </c>
      <c r="H123" s="19">
        <v>694222.59862290905</v>
      </c>
      <c r="I123" s="20">
        <v>82.4</v>
      </c>
      <c r="J123" s="21">
        <v>71.679179216827606</v>
      </c>
      <c r="K123" s="21">
        <v>72.568833532485101</v>
      </c>
      <c r="L123" s="21">
        <v>68.9247458163548</v>
      </c>
      <c r="M123" s="21">
        <v>73.245700957682999</v>
      </c>
      <c r="N123" s="21">
        <v>83.390672162610301</v>
      </c>
      <c r="O123" s="21">
        <v>83.649278843337797</v>
      </c>
      <c r="P123" s="21">
        <v>74.5810421377399</v>
      </c>
      <c r="Q123" s="21">
        <v>62.7910021701774</v>
      </c>
      <c r="R123" s="21">
        <v>24.016666666666701</v>
      </c>
      <c r="S123" s="21">
        <v>66.864500000000007</v>
      </c>
      <c r="T123" s="22">
        <v>64.87</v>
      </c>
      <c r="U123" s="19">
        <v>816713.746900231</v>
      </c>
      <c r="V123" s="19">
        <v>155692.78000122699</v>
      </c>
      <c r="W123" s="19">
        <v>140708.82</v>
      </c>
      <c r="X123" s="19">
        <v>118136.72</v>
      </c>
      <c r="Y123" s="21">
        <v>9.6240557854439803</v>
      </c>
      <c r="Z123" s="19">
        <v>58507320</v>
      </c>
      <c r="AA123" s="22">
        <v>0.34306342920559102</v>
      </c>
      <c r="AB123" s="22">
        <v>5.8042825382249097</v>
      </c>
      <c r="AC123" s="20">
        <v>16.9189777868935</v>
      </c>
      <c r="AD123" s="20">
        <v>40.689770100561802</v>
      </c>
      <c r="AE123" s="20">
        <v>1.0588718637980199</v>
      </c>
      <c r="AF123" s="20">
        <v>0.96339113680154098</v>
      </c>
      <c r="AG123" s="20">
        <v>3.4297979797979798</v>
      </c>
      <c r="AH123" s="20">
        <v>5.3200663831482498</v>
      </c>
      <c r="AI123" s="21">
        <f t="shared" si="1"/>
        <v>1.8902684033502699</v>
      </c>
      <c r="AJ123" s="21">
        <v>1925201</v>
      </c>
      <c r="AK123" s="21">
        <v>4078868</v>
      </c>
      <c r="AL123" s="21">
        <v>4667221</v>
      </c>
      <c r="AM123" s="20">
        <v>1374.0571</v>
      </c>
      <c r="AN123" s="19">
        <v>8773128.7775708009</v>
      </c>
      <c r="AO123" s="21">
        <v>13827.98</v>
      </c>
      <c r="AP123" s="21">
        <v>168.43299999999999</v>
      </c>
      <c r="AQ123" s="21">
        <v>127.93300000000001</v>
      </c>
      <c r="AR123" s="22">
        <v>0.18559999999999999</v>
      </c>
      <c r="AS123" s="22">
        <v>0.57356844584147104</v>
      </c>
      <c r="AT123" s="20">
        <v>113.2</v>
      </c>
      <c r="AU123" s="20">
        <v>0</v>
      </c>
    </row>
    <row r="124" spans="1:47" ht="16" customHeight="1" x14ac:dyDescent="0.2">
      <c r="A124" s="18" t="s">
        <v>236</v>
      </c>
      <c r="B124" s="19">
        <v>2411031.5</v>
      </c>
      <c r="C124" s="19">
        <v>1333549.3</v>
      </c>
      <c r="D124" s="19">
        <v>490932.4</v>
      </c>
      <c r="E124" s="19">
        <v>529609.19999999995</v>
      </c>
      <c r="F124" s="19">
        <v>687898.6</v>
      </c>
      <c r="G124" s="19">
        <v>653704.80000000005</v>
      </c>
      <c r="H124" s="19">
        <v>707843.83710679796</v>
      </c>
      <c r="I124" s="20">
        <v>83</v>
      </c>
      <c r="J124" s="21">
        <v>71.938982013793407</v>
      </c>
      <c r="K124" s="21">
        <v>73.147185477073705</v>
      </c>
      <c r="L124" s="21">
        <v>69.334196440907803</v>
      </c>
      <c r="M124" s="21">
        <v>73.926008836552796</v>
      </c>
      <c r="N124" s="21">
        <v>84.383573408062304</v>
      </c>
      <c r="O124" s="21">
        <v>85.834111801015595</v>
      </c>
      <c r="P124" s="21">
        <v>75.069999999999993</v>
      </c>
      <c r="Q124" s="21">
        <v>68.539095670846507</v>
      </c>
      <c r="R124" s="21">
        <v>26.926666666666701</v>
      </c>
      <c r="S124" s="21">
        <v>69.923119999999997</v>
      </c>
      <c r="T124" s="22">
        <v>65.97</v>
      </c>
      <c r="U124" s="19">
        <v>828948.13620634202</v>
      </c>
      <c r="V124" s="19">
        <v>156343.28733427401</v>
      </c>
      <c r="W124" s="19">
        <v>141706.76</v>
      </c>
      <c r="X124" s="19">
        <v>119089.91</v>
      </c>
      <c r="Y124" s="21">
        <v>9.3617881418725197</v>
      </c>
      <c r="Z124" s="19">
        <v>58887637</v>
      </c>
      <c r="AA124" s="22">
        <v>0.343814726687039</v>
      </c>
      <c r="AB124" s="22">
        <v>5.8497430624081801</v>
      </c>
      <c r="AC124" s="20">
        <v>17.0142306549102</v>
      </c>
      <c r="AD124" s="20">
        <v>40.942914724189102</v>
      </c>
      <c r="AE124" s="20">
        <v>1.0966595749347501</v>
      </c>
      <c r="AF124" s="20">
        <v>1.0136847440446</v>
      </c>
      <c r="AG124" s="20">
        <v>3.54231608005521</v>
      </c>
      <c r="AH124" s="20">
        <v>5.6175891338854402</v>
      </c>
      <c r="AI124" s="21">
        <f t="shared" si="1"/>
        <v>2.0752730538302302</v>
      </c>
      <c r="AJ124" s="21">
        <v>2003675</v>
      </c>
      <c r="AK124" s="21">
        <v>4149339</v>
      </c>
      <c r="AL124" s="21">
        <v>4766006</v>
      </c>
      <c r="AM124" s="20">
        <v>1418.8398999999999</v>
      </c>
      <c r="AN124" s="19">
        <v>8811956.9994674306</v>
      </c>
      <c r="AO124" s="21">
        <v>13878.147000000001</v>
      </c>
      <c r="AP124" s="21">
        <v>170.1</v>
      </c>
      <c r="AQ124" s="21">
        <v>129.63300000000001</v>
      </c>
      <c r="AR124" s="22">
        <v>0.18720000000000001</v>
      </c>
      <c r="AS124" s="22">
        <v>0.48936266581217502</v>
      </c>
      <c r="AT124" s="20">
        <v>115.8</v>
      </c>
      <c r="AU124" s="20">
        <v>2.2999999999999998</v>
      </c>
    </row>
    <row r="125" spans="1:47" ht="16" customHeight="1" x14ac:dyDescent="0.2">
      <c r="A125" s="18" t="s">
        <v>237</v>
      </c>
      <c r="B125" s="19">
        <v>2432995.5</v>
      </c>
      <c r="C125" s="19">
        <v>1342700.5</v>
      </c>
      <c r="D125" s="19">
        <v>491739.5</v>
      </c>
      <c r="E125" s="19">
        <v>534529.80000000005</v>
      </c>
      <c r="F125" s="19">
        <v>710429.3</v>
      </c>
      <c r="G125" s="19">
        <v>676248.9</v>
      </c>
      <c r="H125" s="19">
        <v>717125.47299339494</v>
      </c>
      <c r="I125" s="20">
        <v>83.6</v>
      </c>
      <c r="J125" s="21">
        <v>72.197816808419802</v>
      </c>
      <c r="K125" s="21">
        <v>73.485193237527596</v>
      </c>
      <c r="L125" s="21">
        <v>69.457829114684898</v>
      </c>
      <c r="M125" s="21">
        <v>74.492315709033605</v>
      </c>
      <c r="N125" s="21">
        <v>85.345514237591104</v>
      </c>
      <c r="O125" s="21">
        <v>86.956326631330001</v>
      </c>
      <c r="P125" s="21">
        <v>75.5566666666667</v>
      </c>
      <c r="Q125" s="21">
        <v>67.297363822007696</v>
      </c>
      <c r="R125" s="21">
        <v>26.766666666666701</v>
      </c>
      <c r="S125" s="21">
        <v>67.750320000000002</v>
      </c>
      <c r="T125" s="22">
        <v>66.98</v>
      </c>
      <c r="U125" s="19">
        <v>838323.00239539403</v>
      </c>
      <c r="V125" s="19">
        <v>156871.87710942299</v>
      </c>
      <c r="W125" s="19">
        <v>142555.99</v>
      </c>
      <c r="X125" s="19">
        <v>119852.44</v>
      </c>
      <c r="Y125" s="21">
        <v>9.1258467567370403</v>
      </c>
      <c r="Z125" s="19">
        <v>59058120</v>
      </c>
      <c r="AA125" s="22">
        <v>0.344564140129069</v>
      </c>
      <c r="AB125" s="22">
        <v>5.8806578551725099</v>
      </c>
      <c r="AC125" s="20">
        <v>17.066946818579801</v>
      </c>
      <c r="AD125" s="20">
        <v>41.196629692919501</v>
      </c>
      <c r="AE125" s="20">
        <v>1.1316215420003199</v>
      </c>
      <c r="AF125" s="20">
        <v>1.07158165452207</v>
      </c>
      <c r="AG125" s="20">
        <v>4.2630168350168303</v>
      </c>
      <c r="AH125" s="20">
        <v>5.4248903715415002</v>
      </c>
      <c r="AI125" s="21">
        <f t="shared" si="1"/>
        <v>1.16187353652467</v>
      </c>
      <c r="AJ125" s="21">
        <v>2001262</v>
      </c>
      <c r="AK125" s="21">
        <v>4171277</v>
      </c>
      <c r="AL125" s="21">
        <v>4788838</v>
      </c>
      <c r="AM125" s="20">
        <v>1446.2311999999999</v>
      </c>
      <c r="AN125" s="19">
        <v>8969456.4671137091</v>
      </c>
      <c r="AO125" s="21">
        <v>14130.907999999999</v>
      </c>
      <c r="AP125" s="21">
        <v>171.43299999999999</v>
      </c>
      <c r="AQ125" s="21">
        <v>132.03299999999999</v>
      </c>
      <c r="AR125" s="22">
        <v>0.27010000000000001</v>
      </c>
      <c r="AS125" s="22">
        <v>0.499568735758464</v>
      </c>
      <c r="AT125" s="20">
        <v>117.2</v>
      </c>
      <c r="AU125" s="20">
        <v>5.5</v>
      </c>
    </row>
    <row r="126" spans="1:47" ht="16" customHeight="1" x14ac:dyDescent="0.2">
      <c r="A126" s="18" t="s">
        <v>238</v>
      </c>
      <c r="B126" s="19">
        <v>2449301.6</v>
      </c>
      <c r="C126" s="19">
        <v>1348088.6</v>
      </c>
      <c r="D126" s="19">
        <v>494993.6</v>
      </c>
      <c r="E126" s="19">
        <v>541181</v>
      </c>
      <c r="F126" s="19">
        <v>725824.9</v>
      </c>
      <c r="G126" s="19">
        <v>694245.5</v>
      </c>
      <c r="H126" s="19">
        <v>727380.82642982702</v>
      </c>
      <c r="I126" s="20">
        <v>83.9</v>
      </c>
      <c r="J126" s="21">
        <v>72.638654050946599</v>
      </c>
      <c r="K126" s="21">
        <v>74.092545313946502</v>
      </c>
      <c r="L126" s="21">
        <v>69.902667560913898</v>
      </c>
      <c r="M126" s="21">
        <v>74.860009235922007</v>
      </c>
      <c r="N126" s="21">
        <v>86.233442264698098</v>
      </c>
      <c r="O126" s="21">
        <v>88.436707114924204</v>
      </c>
      <c r="P126" s="21">
        <v>75.989999999999995</v>
      </c>
      <c r="Q126" s="21">
        <v>71.931377173873102</v>
      </c>
      <c r="R126" s="21">
        <v>30.6733333333333</v>
      </c>
      <c r="S126" s="21">
        <v>66.233484000000004</v>
      </c>
      <c r="T126" s="22">
        <v>68.099999999999994</v>
      </c>
      <c r="U126" s="19">
        <v>849904.70866429398</v>
      </c>
      <c r="V126" s="19">
        <v>157384.83136594301</v>
      </c>
      <c r="W126" s="19">
        <v>143270.46</v>
      </c>
      <c r="X126" s="19">
        <v>120453.19</v>
      </c>
      <c r="Y126" s="21">
        <v>8.9680633409486408</v>
      </c>
      <c r="Z126" s="19">
        <v>59252986</v>
      </c>
      <c r="AA126" s="22">
        <v>0.34699879698943298</v>
      </c>
      <c r="AB126" s="22">
        <v>5.9321698880864497</v>
      </c>
      <c r="AC126" s="20">
        <v>17.0956497243046</v>
      </c>
      <c r="AD126" s="20">
        <v>41.3363404166669</v>
      </c>
      <c r="AE126" s="20">
        <v>1.1482330606917699</v>
      </c>
      <c r="AF126" s="20">
        <v>1.1047282368537299</v>
      </c>
      <c r="AG126" s="20">
        <v>4.7376004140786696</v>
      </c>
      <c r="AH126" s="20">
        <v>5.4396994692891596</v>
      </c>
      <c r="AI126" s="21">
        <f t="shared" si="1"/>
        <v>0.70209905521048999</v>
      </c>
      <c r="AJ126" s="21">
        <v>2015210</v>
      </c>
      <c r="AK126" s="21">
        <v>4212330</v>
      </c>
      <c r="AL126" s="21">
        <v>4830524</v>
      </c>
      <c r="AM126" s="20">
        <v>1476.2867000000001</v>
      </c>
      <c r="AN126" s="19">
        <v>8973618.1541021001</v>
      </c>
      <c r="AO126" s="21">
        <v>14145.312</v>
      </c>
      <c r="AP126" s="21">
        <v>173</v>
      </c>
      <c r="AQ126" s="21">
        <v>133.767</v>
      </c>
      <c r="AR126" s="22">
        <v>0.13950000000000001</v>
      </c>
      <c r="AS126" s="22">
        <v>0.38948925018310598</v>
      </c>
      <c r="AT126" s="20">
        <v>117</v>
      </c>
      <c r="AU126" s="20">
        <v>6.4</v>
      </c>
    </row>
    <row r="127" spans="1:47" ht="16" customHeight="1" x14ac:dyDescent="0.2">
      <c r="A127" s="18" t="s">
        <v>239</v>
      </c>
      <c r="B127" s="19">
        <v>2461071.7000000002</v>
      </c>
      <c r="C127" s="19">
        <v>1351659.1</v>
      </c>
      <c r="D127" s="19">
        <v>498917</v>
      </c>
      <c r="E127" s="19">
        <v>539870</v>
      </c>
      <c r="F127" s="19">
        <v>751407.6</v>
      </c>
      <c r="G127" s="19">
        <v>717071.5</v>
      </c>
      <c r="H127" s="19">
        <v>737564.29742112698</v>
      </c>
      <c r="I127" s="20">
        <v>84.1</v>
      </c>
      <c r="J127" s="21">
        <v>72.889838831805307</v>
      </c>
      <c r="K127" s="21">
        <v>74.590989787593799</v>
      </c>
      <c r="L127" s="21">
        <v>70.296902526324203</v>
      </c>
      <c r="M127" s="21">
        <v>75.423118890935498</v>
      </c>
      <c r="N127" s="21">
        <v>87.234722649437501</v>
      </c>
      <c r="O127" s="21">
        <v>89.950255458788405</v>
      </c>
      <c r="P127" s="21">
        <v>76.47</v>
      </c>
      <c r="Q127" s="21">
        <v>70.470893716526007</v>
      </c>
      <c r="R127" s="21">
        <v>29.723333333333301</v>
      </c>
      <c r="S127" s="21">
        <v>65.174598000000003</v>
      </c>
      <c r="T127" s="22">
        <v>68.510000000000005</v>
      </c>
      <c r="U127" s="19">
        <v>859229.19552207401</v>
      </c>
      <c r="V127" s="19">
        <v>157619.508864926</v>
      </c>
      <c r="W127" s="19">
        <v>143871.4</v>
      </c>
      <c r="X127" s="19">
        <v>121010</v>
      </c>
      <c r="Y127" s="21">
        <v>8.7223396164159492</v>
      </c>
      <c r="Z127" s="19">
        <v>59464952</v>
      </c>
      <c r="AA127" s="22">
        <v>0.34912806299876298</v>
      </c>
      <c r="AB127" s="22">
        <v>5.9722029223464403</v>
      </c>
      <c r="AC127" s="20">
        <v>17.106052349528799</v>
      </c>
      <c r="AD127" s="20">
        <v>41.386928219499801</v>
      </c>
      <c r="AE127" s="20">
        <v>1.1697981513289899</v>
      </c>
      <c r="AF127" s="20">
        <v>1.15167568812622</v>
      </c>
      <c r="AG127" s="20">
        <v>5.0241283891546997</v>
      </c>
      <c r="AH127" s="20">
        <v>5.27332896176046</v>
      </c>
      <c r="AI127" s="21">
        <f t="shared" si="1"/>
        <v>0.24920057260576023</v>
      </c>
      <c r="AJ127" s="21">
        <v>2025182</v>
      </c>
      <c r="AK127" s="21">
        <v>4226952</v>
      </c>
      <c r="AL127" s="21">
        <v>4859203</v>
      </c>
      <c r="AM127" s="20">
        <v>1364.1760999999999</v>
      </c>
      <c r="AN127" s="19">
        <v>9027548.9797631893</v>
      </c>
      <c r="AO127" s="21">
        <v>14229.764999999999</v>
      </c>
      <c r="AP127" s="21">
        <v>174.233</v>
      </c>
      <c r="AQ127" s="21">
        <v>135.53299999999999</v>
      </c>
      <c r="AR127" s="22">
        <v>0.21529999999999999</v>
      </c>
      <c r="AS127" s="22">
        <v>0.44587496439615898</v>
      </c>
      <c r="AT127" s="20">
        <v>116.3</v>
      </c>
      <c r="AU127" s="20">
        <v>5.6</v>
      </c>
    </row>
    <row r="128" spans="1:47" ht="16" customHeight="1" x14ac:dyDescent="0.2">
      <c r="A128" s="18" t="s">
        <v>240</v>
      </c>
      <c r="B128" s="19">
        <v>2488031</v>
      </c>
      <c r="C128" s="19">
        <v>1364368.4</v>
      </c>
      <c r="D128" s="19">
        <v>502609.6</v>
      </c>
      <c r="E128" s="19">
        <v>545104.80000000005</v>
      </c>
      <c r="F128" s="19">
        <v>753431.9</v>
      </c>
      <c r="G128" s="19">
        <v>708629.5</v>
      </c>
      <c r="H128" s="19">
        <v>758021.778492201</v>
      </c>
      <c r="I128" s="20">
        <v>84.5</v>
      </c>
      <c r="J128" s="21">
        <v>73.535957278476701</v>
      </c>
      <c r="K128" s="21">
        <v>74.888639382495299</v>
      </c>
      <c r="L128" s="21">
        <v>70.843637253009504</v>
      </c>
      <c r="M128" s="21">
        <v>75.509777863968097</v>
      </c>
      <c r="N128" s="21">
        <v>86.613674298230407</v>
      </c>
      <c r="O128" s="21">
        <v>88.448600601710098</v>
      </c>
      <c r="P128" s="21">
        <v>76.69</v>
      </c>
      <c r="Q128" s="21">
        <v>64.996059324011497</v>
      </c>
      <c r="R128" s="21">
        <v>25.873333333333299</v>
      </c>
      <c r="S128" s="21">
        <v>65.737994666666694</v>
      </c>
      <c r="T128" s="22">
        <v>69.430000000000007</v>
      </c>
      <c r="U128" s="19">
        <v>867819.73338042304</v>
      </c>
      <c r="V128" s="19">
        <v>157584.16145836</v>
      </c>
      <c r="W128" s="19">
        <v>144180.60999999999</v>
      </c>
      <c r="X128" s="19">
        <v>121334.53</v>
      </c>
      <c r="Y128" s="21">
        <v>8.5056463380058709</v>
      </c>
      <c r="Z128" s="19">
        <v>59603336</v>
      </c>
      <c r="AA128" s="22">
        <v>0.34879779768838198</v>
      </c>
      <c r="AB128" s="22">
        <v>6.0189767083134402</v>
      </c>
      <c r="AC128" s="20">
        <v>17.256349518843098</v>
      </c>
      <c r="AD128" s="20">
        <v>41.743150081398099</v>
      </c>
      <c r="AE128" s="20">
        <v>1.10204697879331</v>
      </c>
      <c r="AF128" s="20">
        <v>1.0831889081455801</v>
      </c>
      <c r="AG128" s="20">
        <v>4.7450545454545496</v>
      </c>
      <c r="AH128" s="20">
        <v>4.9891324088274001</v>
      </c>
      <c r="AI128" s="21">
        <f t="shared" si="1"/>
        <v>0.24407786337285042</v>
      </c>
      <c r="AJ128" s="21">
        <v>2106179</v>
      </c>
      <c r="AK128" s="21">
        <v>4382791</v>
      </c>
      <c r="AL128" s="21">
        <v>5079966</v>
      </c>
      <c r="AM128" s="20">
        <v>1275.1995999999999</v>
      </c>
      <c r="AN128" s="19">
        <v>9002642.3357040007</v>
      </c>
      <c r="AO128" s="21">
        <v>14183.12</v>
      </c>
      <c r="AP128" s="21">
        <v>175.9</v>
      </c>
      <c r="AQ128" s="21">
        <v>137.767</v>
      </c>
      <c r="AR128" s="22">
        <v>0.21440000000000001</v>
      </c>
      <c r="AS128" s="22">
        <v>0.37824220021565802</v>
      </c>
      <c r="AT128" s="20">
        <v>114.2</v>
      </c>
      <c r="AU128" s="20">
        <v>2.6</v>
      </c>
    </row>
    <row r="129" spans="1:47" ht="16" customHeight="1" x14ac:dyDescent="0.2">
      <c r="A129" s="18" t="s">
        <v>241</v>
      </c>
      <c r="B129" s="19">
        <v>2489197</v>
      </c>
      <c r="C129" s="19">
        <v>1365777.5</v>
      </c>
      <c r="D129" s="19">
        <v>502547.7</v>
      </c>
      <c r="E129" s="19">
        <v>543733.4</v>
      </c>
      <c r="F129" s="19">
        <v>747651.3</v>
      </c>
      <c r="G129" s="19">
        <v>707252</v>
      </c>
      <c r="H129" s="19">
        <v>761347.50659437804</v>
      </c>
      <c r="I129" s="20">
        <v>83.1</v>
      </c>
      <c r="J129" s="21">
        <v>73.986481734196801</v>
      </c>
      <c r="K129" s="21">
        <v>75.530678017738197</v>
      </c>
      <c r="L129" s="21">
        <v>71.372015752319996</v>
      </c>
      <c r="M129" s="21">
        <v>75.820335075786701</v>
      </c>
      <c r="N129" s="21">
        <v>86.918640829755304</v>
      </c>
      <c r="O129" s="21">
        <v>88.805634270974707</v>
      </c>
      <c r="P129" s="21">
        <v>77.790000000000006</v>
      </c>
      <c r="Q129" s="21">
        <v>66.166361499074895</v>
      </c>
      <c r="R129" s="21">
        <v>27.273333333333301</v>
      </c>
      <c r="S129" s="21">
        <v>63.9746083333333</v>
      </c>
      <c r="T129" s="22">
        <v>70.400000000000006</v>
      </c>
      <c r="U129" s="19">
        <v>875865.06036266696</v>
      </c>
      <c r="V129" s="19">
        <v>157659.35865900299</v>
      </c>
      <c r="W129" s="19">
        <v>144341.32999999999</v>
      </c>
      <c r="X129" s="19">
        <v>121526.86</v>
      </c>
      <c r="Y129" s="21">
        <v>8.4473441806952803</v>
      </c>
      <c r="Z129" s="19">
        <v>59449588</v>
      </c>
      <c r="AA129" s="22">
        <v>0.35186650970681199</v>
      </c>
      <c r="AB129" s="22">
        <v>6.0680129548665498</v>
      </c>
      <c r="AC129" s="20">
        <v>17.245213134727202</v>
      </c>
      <c r="AD129" s="20">
        <v>41.870719104058402</v>
      </c>
      <c r="AE129" s="20">
        <v>1.12952742831454</v>
      </c>
      <c r="AF129" s="20">
        <v>1.1461318051575899</v>
      </c>
      <c r="AG129" s="20">
        <v>4.5907510822510798</v>
      </c>
      <c r="AH129" s="20">
        <v>5.19072792960662</v>
      </c>
      <c r="AI129" s="21">
        <f t="shared" si="1"/>
        <v>0.59997684735554024</v>
      </c>
      <c r="AJ129" s="21">
        <v>2158667</v>
      </c>
      <c r="AK129" s="21">
        <v>4467986</v>
      </c>
      <c r="AL129" s="21">
        <v>5192173</v>
      </c>
      <c r="AM129" s="20">
        <v>1232.9813999999999</v>
      </c>
      <c r="AN129" s="19">
        <v>9049464.3887825105</v>
      </c>
      <c r="AO129" s="21">
        <v>14271.694</v>
      </c>
      <c r="AP129" s="21">
        <v>177.13300000000001</v>
      </c>
      <c r="AQ129" s="21">
        <v>136.233</v>
      </c>
      <c r="AR129" s="22">
        <v>0.22470000000000001</v>
      </c>
      <c r="AS129" s="22">
        <v>0.45667429606119803</v>
      </c>
      <c r="AT129" s="20">
        <v>105.3</v>
      </c>
      <c r="AU129" s="20">
        <v>-5.6</v>
      </c>
    </row>
    <row r="130" spans="1:47" ht="16" customHeight="1" x14ac:dyDescent="0.2">
      <c r="A130" s="18" t="s">
        <v>242</v>
      </c>
      <c r="B130" s="19">
        <v>2494511.4</v>
      </c>
      <c r="C130" s="19">
        <v>1370804</v>
      </c>
      <c r="D130" s="19">
        <v>503794.9</v>
      </c>
      <c r="E130" s="19">
        <v>539410.30000000005</v>
      </c>
      <c r="F130" s="19">
        <v>744651</v>
      </c>
      <c r="G130" s="19">
        <v>700230.3</v>
      </c>
      <c r="H130" s="19">
        <v>765915.09934157005</v>
      </c>
      <c r="I130" s="20">
        <v>82</v>
      </c>
      <c r="J130" s="21">
        <v>74.433254727289594</v>
      </c>
      <c r="K130" s="21">
        <v>75.884802816622596</v>
      </c>
      <c r="L130" s="21">
        <v>71.982534623042</v>
      </c>
      <c r="M130" s="21">
        <v>75.992553569038094</v>
      </c>
      <c r="N130" s="21">
        <v>86.482194035093897</v>
      </c>
      <c r="O130" s="21">
        <v>88.163153807878402</v>
      </c>
      <c r="P130" s="21">
        <v>77.84</v>
      </c>
      <c r="Q130" s="21">
        <v>61.6724767815452</v>
      </c>
      <c r="R130" s="21">
        <v>25.303333333333299</v>
      </c>
      <c r="S130" s="21">
        <v>60.389049</v>
      </c>
      <c r="T130" s="22">
        <v>71.510000000000005</v>
      </c>
      <c r="U130" s="19">
        <v>884447.59971222095</v>
      </c>
      <c r="V130" s="19">
        <v>158002.92997423501</v>
      </c>
      <c r="W130" s="19">
        <v>144646.82</v>
      </c>
      <c r="X130" s="19">
        <v>121859.88</v>
      </c>
      <c r="Y130" s="21">
        <v>8.4530774058511096</v>
      </c>
      <c r="Z130" s="19">
        <v>59482222</v>
      </c>
      <c r="AA130" s="22">
        <v>0.35455744949180101</v>
      </c>
      <c r="AB130" s="22">
        <v>6.1145319317232198</v>
      </c>
      <c r="AC130" s="20">
        <v>17.2455322557385</v>
      </c>
      <c r="AD130" s="20">
        <v>41.937091724650102</v>
      </c>
      <c r="AE130" s="20">
        <v>1.10747735485679</v>
      </c>
      <c r="AF130" s="20">
        <v>1.1232168931820701</v>
      </c>
      <c r="AG130" s="20">
        <v>4.2678360342556001</v>
      </c>
      <c r="AH130" s="20">
        <v>5.11522232411067</v>
      </c>
      <c r="AI130" s="21">
        <f t="shared" si="1"/>
        <v>0.84738628985506992</v>
      </c>
      <c r="AJ130" s="21">
        <v>2190698</v>
      </c>
      <c r="AK130" s="21">
        <v>4533918</v>
      </c>
      <c r="AL130" s="21">
        <v>5296229</v>
      </c>
      <c r="AM130" s="20">
        <v>1147.6628000000001</v>
      </c>
      <c r="AN130" s="19">
        <v>9004376.7187507693</v>
      </c>
      <c r="AO130" s="21">
        <v>14214.516</v>
      </c>
      <c r="AP130" s="21">
        <v>177.63300000000001</v>
      </c>
      <c r="AQ130" s="21">
        <v>133.36699999999999</v>
      </c>
      <c r="AR130" s="22">
        <v>0.1668</v>
      </c>
      <c r="AS130" s="22">
        <v>1.29637187957764</v>
      </c>
      <c r="AT130" s="20">
        <v>101.9</v>
      </c>
      <c r="AU130" s="20">
        <v>-7.7</v>
      </c>
    </row>
    <row r="131" spans="1:47" ht="16" customHeight="1" x14ac:dyDescent="0.2">
      <c r="A131" s="18" t="s">
        <v>243</v>
      </c>
      <c r="B131" s="19">
        <v>2493272.5</v>
      </c>
      <c r="C131" s="19">
        <v>1376421.4</v>
      </c>
      <c r="D131" s="19">
        <v>510173.6</v>
      </c>
      <c r="E131" s="19">
        <v>537814.1</v>
      </c>
      <c r="F131" s="19">
        <v>743357.8</v>
      </c>
      <c r="G131" s="19">
        <v>692476.6</v>
      </c>
      <c r="H131" s="19">
        <v>772179.17928154697</v>
      </c>
      <c r="I131" s="20">
        <v>80.7</v>
      </c>
      <c r="J131" s="21">
        <v>74.930786561919206</v>
      </c>
      <c r="K131" s="21">
        <v>76.104864448056006</v>
      </c>
      <c r="L131" s="21">
        <v>72.768178378397494</v>
      </c>
      <c r="M131" s="21">
        <v>76.259708275320406</v>
      </c>
      <c r="N131" s="21">
        <v>86.125200228472593</v>
      </c>
      <c r="O131" s="21">
        <v>86.703899435451603</v>
      </c>
      <c r="P131" s="21">
        <v>78.11</v>
      </c>
      <c r="Q131" s="21">
        <v>51.186108613639298</v>
      </c>
      <c r="R131" s="21">
        <v>19.350000000000001</v>
      </c>
      <c r="S131" s="21">
        <v>56.6985246666667</v>
      </c>
      <c r="T131" s="22">
        <v>71.87</v>
      </c>
      <c r="U131" s="19">
        <v>892521.61131446494</v>
      </c>
      <c r="V131" s="19">
        <v>158460.51436857699</v>
      </c>
      <c r="W131" s="19">
        <v>144940.31</v>
      </c>
      <c r="X131" s="19">
        <v>122121.78</v>
      </c>
      <c r="Y131" s="21">
        <v>8.5322229468025697</v>
      </c>
      <c r="Z131" s="19">
        <v>59540586</v>
      </c>
      <c r="AA131" s="22">
        <v>0.35797194703525798</v>
      </c>
      <c r="AB131" s="22">
        <v>6.1578563707671403</v>
      </c>
      <c r="AC131" s="20">
        <v>17.202064077274301</v>
      </c>
      <c r="AD131" s="20">
        <v>41.875175699480003</v>
      </c>
      <c r="AE131" s="20">
        <v>1.0993053855703701</v>
      </c>
      <c r="AF131" s="20">
        <v>1.1161960040183101</v>
      </c>
      <c r="AG131" s="20">
        <v>3.4434800907627001</v>
      </c>
      <c r="AH131" s="20">
        <v>4.8140991211180104</v>
      </c>
      <c r="AI131" s="21">
        <f t="shared" si="1"/>
        <v>1.3706190303553103</v>
      </c>
      <c r="AJ131" s="21">
        <v>2221922</v>
      </c>
      <c r="AK131" s="21">
        <v>4615510</v>
      </c>
      <c r="AL131" s="21">
        <v>5402883</v>
      </c>
      <c r="AM131" s="20">
        <v>1117.1748</v>
      </c>
      <c r="AN131" s="19">
        <v>9027105.2326837499</v>
      </c>
      <c r="AO131" s="21">
        <v>14253.574000000001</v>
      </c>
      <c r="AP131" s="21">
        <v>177.5</v>
      </c>
      <c r="AQ131" s="21">
        <v>129.4</v>
      </c>
      <c r="AR131" s="22">
        <v>0.17730000000000001</v>
      </c>
      <c r="AS131" s="22">
        <v>2.3271191406249998</v>
      </c>
      <c r="AT131" s="20">
        <v>93</v>
      </c>
      <c r="AU131" s="20">
        <v>-15.3</v>
      </c>
    </row>
    <row r="132" spans="1:47" ht="16" customHeight="1" x14ac:dyDescent="0.2">
      <c r="A132" s="18" t="s">
        <v>244</v>
      </c>
      <c r="B132" s="19">
        <v>2498791.1</v>
      </c>
      <c r="C132" s="19">
        <v>1377796.8</v>
      </c>
      <c r="D132" s="19">
        <v>509923.6</v>
      </c>
      <c r="E132" s="19">
        <v>536043.4</v>
      </c>
      <c r="F132" s="19">
        <v>751902.4</v>
      </c>
      <c r="G132" s="19">
        <v>696366.8</v>
      </c>
      <c r="H132" s="19">
        <v>779377</v>
      </c>
      <c r="I132" s="20">
        <v>80.7</v>
      </c>
      <c r="J132" s="21">
        <v>75.507000000000005</v>
      </c>
      <c r="K132" s="21">
        <v>76.507999999999996</v>
      </c>
      <c r="L132" s="21">
        <v>73.367000000000004</v>
      </c>
      <c r="M132" s="21">
        <v>76.662000000000006</v>
      </c>
      <c r="N132" s="21">
        <v>86.259</v>
      </c>
      <c r="O132" s="21">
        <v>86.498000000000005</v>
      </c>
      <c r="P132" s="21">
        <v>78.653333333333293</v>
      </c>
      <c r="Q132" s="21">
        <v>55.1862037328127</v>
      </c>
      <c r="R132" s="21">
        <v>21.133333333333301</v>
      </c>
      <c r="S132" s="21">
        <v>59.488998000000002</v>
      </c>
      <c r="T132" s="22">
        <v>73.45</v>
      </c>
      <c r="U132" s="19">
        <v>900985</v>
      </c>
      <c r="V132" s="19">
        <v>159017.56963712201</v>
      </c>
      <c r="W132" s="19">
        <v>145412.46</v>
      </c>
      <c r="X132" s="19">
        <v>122557.33</v>
      </c>
      <c r="Y132" s="21">
        <v>8.5557273125033007</v>
      </c>
      <c r="Z132" s="19">
        <v>59509489</v>
      </c>
      <c r="AA132" s="22">
        <v>0.36056835643443702</v>
      </c>
      <c r="AB132" s="22">
        <v>6.19606462884955</v>
      </c>
      <c r="AC132" s="20">
        <v>17.184160834635499</v>
      </c>
      <c r="AD132" s="20">
        <v>41.989792585851298</v>
      </c>
      <c r="AE132" s="20">
        <v>1.1119792786367999</v>
      </c>
      <c r="AF132" s="20">
        <v>1.14077116130504</v>
      </c>
      <c r="AG132" s="20">
        <v>3.3622242424242401</v>
      </c>
      <c r="AH132" s="20">
        <v>5.1351546100759098</v>
      </c>
      <c r="AI132" s="21">
        <f t="shared" ref="AI132:AI195" si="2">AH132-AG132</f>
        <v>1.7729303676516697</v>
      </c>
      <c r="AJ132" s="21">
        <v>2238965</v>
      </c>
      <c r="AK132" s="21">
        <v>4662027</v>
      </c>
      <c r="AL132" s="21">
        <v>5453968</v>
      </c>
      <c r="AM132" s="20">
        <v>1131.4439</v>
      </c>
      <c r="AN132" s="19">
        <v>9101674.3677905705</v>
      </c>
      <c r="AO132" s="21">
        <v>14372.785</v>
      </c>
      <c r="AP132" s="21">
        <v>178.06700000000001</v>
      </c>
      <c r="AQ132" s="21">
        <v>128.9</v>
      </c>
      <c r="AR132" s="22">
        <v>9.9099999999999994E-2</v>
      </c>
      <c r="AS132" s="22">
        <v>1.16621973673502</v>
      </c>
      <c r="AT132" s="20">
        <v>95.9</v>
      </c>
      <c r="AU132" s="20">
        <v>-12.6</v>
      </c>
    </row>
    <row r="133" spans="1:47" ht="16" customHeight="1" x14ac:dyDescent="0.2">
      <c r="A133" s="18" t="s">
        <v>245</v>
      </c>
      <c r="B133" s="19">
        <v>2510130.5</v>
      </c>
      <c r="C133" s="19">
        <v>1378260.3</v>
      </c>
      <c r="D133" s="19">
        <v>514229.5</v>
      </c>
      <c r="E133" s="19">
        <v>530772.30000000005</v>
      </c>
      <c r="F133" s="19">
        <v>761654.3</v>
      </c>
      <c r="G133" s="19">
        <v>703786.8</v>
      </c>
      <c r="H133" s="19">
        <v>784962.9</v>
      </c>
      <c r="I133" s="20">
        <v>80.8</v>
      </c>
      <c r="J133" s="21">
        <v>75.834999999999994</v>
      </c>
      <c r="K133" s="21">
        <v>76.858000000000004</v>
      </c>
      <c r="L133" s="21">
        <v>73.835999999999999</v>
      </c>
      <c r="M133" s="21">
        <v>77.153000000000006</v>
      </c>
      <c r="N133" s="21">
        <v>86.412999999999997</v>
      </c>
      <c r="O133" s="21">
        <v>86.760999999999996</v>
      </c>
      <c r="P133" s="21">
        <v>79.433333333333294</v>
      </c>
      <c r="Q133" s="21">
        <v>61.744544332582002</v>
      </c>
      <c r="R133" s="21">
        <v>25.053333333333299</v>
      </c>
      <c r="S133" s="21">
        <v>60.919502666666702</v>
      </c>
      <c r="T133" s="22">
        <v>74.88</v>
      </c>
      <c r="U133" s="19">
        <v>908148.1</v>
      </c>
      <c r="V133" s="19">
        <v>159404.87808171799</v>
      </c>
      <c r="W133" s="19">
        <v>145613.12</v>
      </c>
      <c r="X133" s="19">
        <v>122759.9</v>
      </c>
      <c r="Y133" s="21">
        <v>8.6520301308772893</v>
      </c>
      <c r="Z133" s="19">
        <v>59599846</v>
      </c>
      <c r="AA133" s="22">
        <v>0.36179318166924002</v>
      </c>
      <c r="AB133" s="22">
        <v>6.2367189165371899</v>
      </c>
      <c r="AC133" s="20">
        <v>17.238353934041101</v>
      </c>
      <c r="AD133" s="20">
        <v>42.116392381282303</v>
      </c>
      <c r="AE133" s="20">
        <v>1.0806044469034199</v>
      </c>
      <c r="AF133" s="20">
        <v>1.0883761427949501</v>
      </c>
      <c r="AG133" s="20">
        <v>3.4460137085137101</v>
      </c>
      <c r="AH133" s="20">
        <v>5.2550844362977598</v>
      </c>
      <c r="AI133" s="21">
        <f t="shared" si="2"/>
        <v>1.8090707277840496</v>
      </c>
      <c r="AJ133" s="21">
        <v>2304238</v>
      </c>
      <c r="AK133" s="21">
        <v>4735880</v>
      </c>
      <c r="AL133" s="21">
        <v>5539079</v>
      </c>
      <c r="AM133" s="20">
        <v>1068.5153</v>
      </c>
      <c r="AN133" s="19">
        <v>9160402.0331727006</v>
      </c>
      <c r="AO133" s="21">
        <v>14460.848</v>
      </c>
      <c r="AP133" s="21">
        <v>179.46700000000001</v>
      </c>
      <c r="AQ133" s="21">
        <v>130.833</v>
      </c>
      <c r="AR133" s="22">
        <v>4.5600000000000002E-2</v>
      </c>
      <c r="AS133" s="22">
        <v>1.13525726318359</v>
      </c>
      <c r="AT133" s="20">
        <v>97.5</v>
      </c>
      <c r="AU133" s="20">
        <v>-8.4</v>
      </c>
    </row>
    <row r="134" spans="1:47" ht="16" customHeight="1" x14ac:dyDescent="0.2">
      <c r="A134" s="18" t="s">
        <v>246</v>
      </c>
      <c r="B134" s="19">
        <v>2521962</v>
      </c>
      <c r="C134" s="19">
        <v>1385837.8</v>
      </c>
      <c r="D134" s="19">
        <v>516633.9</v>
      </c>
      <c r="E134" s="19">
        <v>533093.9</v>
      </c>
      <c r="F134" s="19">
        <v>766297.1</v>
      </c>
      <c r="G134" s="19">
        <v>706929.3</v>
      </c>
      <c r="H134" s="19">
        <v>796906.5</v>
      </c>
      <c r="I134" s="20">
        <v>81</v>
      </c>
      <c r="J134" s="21">
        <v>76.331000000000003</v>
      </c>
      <c r="K134" s="21">
        <v>77.138999999999996</v>
      </c>
      <c r="L134" s="21">
        <v>74.433999999999997</v>
      </c>
      <c r="M134" s="21">
        <v>77.183000000000007</v>
      </c>
      <c r="N134" s="21">
        <v>86.010999999999996</v>
      </c>
      <c r="O134" s="21">
        <v>85.888000000000005</v>
      </c>
      <c r="P134" s="21">
        <v>79.48</v>
      </c>
      <c r="Q134" s="21">
        <v>64.855262479527596</v>
      </c>
      <c r="R134" s="21">
        <v>26.93</v>
      </c>
      <c r="S134" s="21">
        <v>61.743288</v>
      </c>
      <c r="T134" s="22">
        <v>76.27</v>
      </c>
      <c r="U134" s="19">
        <v>915621.1</v>
      </c>
      <c r="V134" s="19">
        <v>159899.288956465</v>
      </c>
      <c r="W134" s="19">
        <v>145825.57</v>
      </c>
      <c r="X134" s="19">
        <v>122879.89</v>
      </c>
      <c r="Y134" s="21">
        <v>8.8016144714045392</v>
      </c>
      <c r="Z134" s="19">
        <v>59574669</v>
      </c>
      <c r="AA134" s="22">
        <v>0.36305903895459202</v>
      </c>
      <c r="AB134" s="22">
        <v>6.2788789373496003</v>
      </c>
      <c r="AC134" s="20">
        <v>17.294374367952098</v>
      </c>
      <c r="AD134" s="20">
        <v>42.332790804091601</v>
      </c>
      <c r="AE134" s="20">
        <v>1.03243675378483</v>
      </c>
      <c r="AF134" s="20">
        <v>1.0164667615369001</v>
      </c>
      <c r="AG134" s="20">
        <v>3.35735064935065</v>
      </c>
      <c r="AH134" s="20">
        <v>4.7605841307484802</v>
      </c>
      <c r="AI134" s="21">
        <f t="shared" si="2"/>
        <v>1.4032334813978302</v>
      </c>
      <c r="AJ134" s="21">
        <v>2369110</v>
      </c>
      <c r="AK134" s="21">
        <v>4821013</v>
      </c>
      <c r="AL134" s="21">
        <v>5660669</v>
      </c>
      <c r="AM134" s="20">
        <v>896.14829999999995</v>
      </c>
      <c r="AN134" s="19">
        <v>9198049.0930451807</v>
      </c>
      <c r="AO134" s="21">
        <v>14519.633</v>
      </c>
      <c r="AP134" s="21">
        <v>180.43299999999999</v>
      </c>
      <c r="AQ134" s="21">
        <v>131.667</v>
      </c>
      <c r="AR134" s="22">
        <v>0.11940000000000001</v>
      </c>
      <c r="AS134" s="22">
        <v>0.96775123596191304</v>
      </c>
      <c r="AT134" s="20">
        <v>95</v>
      </c>
      <c r="AU134" s="20">
        <v>-8.5</v>
      </c>
    </row>
    <row r="135" spans="1:47" ht="16" customHeight="1" x14ac:dyDescent="0.2">
      <c r="A135" s="18" t="s">
        <v>247</v>
      </c>
      <c r="B135" s="19">
        <v>2526610</v>
      </c>
      <c r="C135" s="19">
        <v>1393539.6</v>
      </c>
      <c r="D135" s="19">
        <v>520198.8</v>
      </c>
      <c r="E135" s="19">
        <v>536509.5</v>
      </c>
      <c r="F135" s="19">
        <v>773610</v>
      </c>
      <c r="G135" s="19">
        <v>716985.4</v>
      </c>
      <c r="H135" s="19">
        <v>802079.4</v>
      </c>
      <c r="I135" s="20">
        <v>81.3</v>
      </c>
      <c r="J135" s="21">
        <v>76.69</v>
      </c>
      <c r="K135" s="21">
        <v>77.558000000000007</v>
      </c>
      <c r="L135" s="21">
        <v>74.819999999999993</v>
      </c>
      <c r="M135" s="21">
        <v>77.653999999999996</v>
      </c>
      <c r="N135" s="21">
        <v>85.915999999999997</v>
      </c>
      <c r="O135" s="21">
        <v>86.066999999999993</v>
      </c>
      <c r="P135" s="21">
        <v>79.906666666666695</v>
      </c>
      <c r="Q135" s="21">
        <v>65.390049892816094</v>
      </c>
      <c r="R135" s="21">
        <v>26.7366666666667</v>
      </c>
      <c r="S135" s="21">
        <v>63.498544666666703</v>
      </c>
      <c r="T135" s="22">
        <v>76.7</v>
      </c>
      <c r="U135" s="19">
        <v>922355.6</v>
      </c>
      <c r="V135" s="19">
        <v>160227.438778802</v>
      </c>
      <c r="W135" s="19">
        <v>145884.96</v>
      </c>
      <c r="X135" s="19">
        <v>122994.47</v>
      </c>
      <c r="Y135" s="21">
        <v>8.9513249965894097</v>
      </c>
      <c r="Z135" s="19">
        <v>59569464</v>
      </c>
      <c r="AA135" s="22">
        <v>0.365056577786045</v>
      </c>
      <c r="AB135" s="22">
        <v>6.3224858820265002</v>
      </c>
      <c r="AC135" s="20">
        <v>17.3191945214915</v>
      </c>
      <c r="AD135" s="20">
        <v>42.4145162696109</v>
      </c>
      <c r="AE135" s="20">
        <v>1.0184478244087301</v>
      </c>
      <c r="AF135" s="20">
        <v>1.00060036021613</v>
      </c>
      <c r="AG135" s="20">
        <v>3.1088179089026902</v>
      </c>
      <c r="AH135" s="20">
        <v>4.5407763719493097</v>
      </c>
      <c r="AI135" s="21">
        <f t="shared" si="2"/>
        <v>1.4319584630466196</v>
      </c>
      <c r="AJ135" s="21">
        <v>2442884</v>
      </c>
      <c r="AK135" s="21">
        <v>4915147</v>
      </c>
      <c r="AL135" s="21">
        <v>5767431</v>
      </c>
      <c r="AM135" s="20">
        <v>888.26990000000001</v>
      </c>
      <c r="AN135" s="19">
        <v>9211064.0557276309</v>
      </c>
      <c r="AO135" s="21">
        <v>14537.58</v>
      </c>
      <c r="AP135" s="21">
        <v>181.5</v>
      </c>
      <c r="AQ135" s="21">
        <v>133.06700000000001</v>
      </c>
      <c r="AR135" s="22">
        <v>0.13950000000000001</v>
      </c>
      <c r="AS135" s="22">
        <v>1.1755907185872401</v>
      </c>
      <c r="AT135" s="20">
        <v>92.6</v>
      </c>
      <c r="AU135" s="20">
        <v>-8.6</v>
      </c>
    </row>
    <row r="136" spans="1:47" ht="16" customHeight="1" x14ac:dyDescent="0.2">
      <c r="A136" s="18" t="s">
        <v>248</v>
      </c>
      <c r="B136" s="19">
        <v>2519630.5</v>
      </c>
      <c r="C136" s="19">
        <v>1394356.7</v>
      </c>
      <c r="D136" s="19">
        <v>520246.8</v>
      </c>
      <c r="E136" s="19">
        <v>536514.1</v>
      </c>
      <c r="F136" s="19">
        <v>762069.7</v>
      </c>
      <c r="G136" s="19">
        <v>719725.5</v>
      </c>
      <c r="H136" s="19">
        <v>804170.4</v>
      </c>
      <c r="I136" s="20">
        <v>80.8</v>
      </c>
      <c r="J136" s="21">
        <v>77.16</v>
      </c>
      <c r="K136" s="21">
        <v>78.322999999999993</v>
      </c>
      <c r="L136" s="21">
        <v>75.188999999999993</v>
      </c>
      <c r="M136" s="21">
        <v>77.843000000000004</v>
      </c>
      <c r="N136" s="21">
        <v>86.046999999999997</v>
      </c>
      <c r="O136" s="21">
        <v>86.421000000000006</v>
      </c>
      <c r="P136" s="21">
        <v>80.476666666666702</v>
      </c>
      <c r="Q136" s="21">
        <v>72.877260011032305</v>
      </c>
      <c r="R136" s="21">
        <v>31.52</v>
      </c>
      <c r="S136" s="21">
        <v>65.670142999999996</v>
      </c>
      <c r="T136" s="22">
        <v>77.91</v>
      </c>
      <c r="U136" s="19">
        <v>925774.1</v>
      </c>
      <c r="V136" s="19">
        <v>160613.335464481</v>
      </c>
      <c r="W136" s="19">
        <v>146022.46</v>
      </c>
      <c r="X136" s="19">
        <v>123036.89</v>
      </c>
      <c r="Y136" s="21">
        <v>9.0844732302493707</v>
      </c>
      <c r="Z136" s="19">
        <v>59613294</v>
      </c>
      <c r="AA136" s="22">
        <v>0.36742454895668197</v>
      </c>
      <c r="AB136" s="22">
        <v>6.33994318408278</v>
      </c>
      <c r="AC136" s="20">
        <v>17.255088703477501</v>
      </c>
      <c r="AD136" s="20">
        <v>42.266251886701603</v>
      </c>
      <c r="AE136" s="20">
        <v>0.96901728726840497</v>
      </c>
      <c r="AF136" s="20">
        <v>0.93187960115553103</v>
      </c>
      <c r="AG136" s="20">
        <v>2.6830735209235201</v>
      </c>
      <c r="AH136" s="20">
        <v>4.1527598034161501</v>
      </c>
      <c r="AI136" s="21">
        <f t="shared" si="2"/>
        <v>1.46968628249263</v>
      </c>
      <c r="AJ136" s="21">
        <v>2499997</v>
      </c>
      <c r="AK136" s="21">
        <v>5000011</v>
      </c>
      <c r="AL136" s="21">
        <v>5880069</v>
      </c>
      <c r="AM136" s="20">
        <v>859.83420000000001</v>
      </c>
      <c r="AN136" s="19">
        <v>9259152.1706289593</v>
      </c>
      <c r="AO136" s="21">
        <v>14614.141</v>
      </c>
      <c r="AP136" s="21">
        <v>183.36699999999999</v>
      </c>
      <c r="AQ136" s="21">
        <v>138.03299999999999</v>
      </c>
      <c r="AR136" s="22">
        <v>0.13220000000000001</v>
      </c>
      <c r="AS136" s="22">
        <v>1.74032018025716</v>
      </c>
      <c r="AT136" s="20">
        <v>92.1</v>
      </c>
      <c r="AU136" s="20">
        <v>-9.1999999999999993</v>
      </c>
    </row>
    <row r="137" spans="1:47" ht="16" customHeight="1" x14ac:dyDescent="0.2">
      <c r="A137" s="18" t="s">
        <v>249</v>
      </c>
      <c r="B137" s="19">
        <v>2521122.7999999998</v>
      </c>
      <c r="C137" s="19">
        <v>1397274</v>
      </c>
      <c r="D137" s="19">
        <v>522771.6</v>
      </c>
      <c r="E137" s="19">
        <v>537017.59999999998</v>
      </c>
      <c r="F137" s="19">
        <v>758238.1</v>
      </c>
      <c r="G137" s="19">
        <v>717403.8</v>
      </c>
      <c r="H137" s="19">
        <v>808789.4</v>
      </c>
      <c r="I137" s="20">
        <v>80.599999999999994</v>
      </c>
      <c r="J137" s="21">
        <v>77.602000000000004</v>
      </c>
      <c r="K137" s="21">
        <v>78.531000000000006</v>
      </c>
      <c r="L137" s="21">
        <v>75.516999999999996</v>
      </c>
      <c r="M137" s="21">
        <v>77.957999999999998</v>
      </c>
      <c r="N137" s="21">
        <v>85.293000000000006</v>
      </c>
      <c r="O137" s="21">
        <v>84.894999999999996</v>
      </c>
      <c r="P137" s="21">
        <v>81.02</v>
      </c>
      <c r="Q137" s="21">
        <v>65.210793666502795</v>
      </c>
      <c r="R137" s="21">
        <v>26.17</v>
      </c>
      <c r="S137" s="21">
        <v>64.642238666666699</v>
      </c>
      <c r="T137" s="22">
        <v>79.33</v>
      </c>
      <c r="U137" s="19">
        <v>932074</v>
      </c>
      <c r="V137" s="19">
        <v>160977.707247263</v>
      </c>
      <c r="W137" s="19">
        <v>146270.85999999999</v>
      </c>
      <c r="X137" s="19">
        <v>123164.84</v>
      </c>
      <c r="Y137" s="21">
        <v>9.1359527345441105</v>
      </c>
      <c r="Z137" s="19">
        <v>59582408</v>
      </c>
      <c r="AA137" s="22">
        <v>0.369705910398335</v>
      </c>
      <c r="AB137" s="22">
        <v>6.3722466662191</v>
      </c>
      <c r="AC137" s="20">
        <v>17.235988084024399</v>
      </c>
      <c r="AD137" s="20">
        <v>42.313207616583703</v>
      </c>
      <c r="AE137" s="20">
        <v>0.93316167305934306</v>
      </c>
      <c r="AF137" s="20">
        <v>0.87935279634189201</v>
      </c>
      <c r="AG137" s="20">
        <v>2.3619103174603202</v>
      </c>
      <c r="AH137" s="20">
        <v>3.95696066450216</v>
      </c>
      <c r="AI137" s="21">
        <f t="shared" si="2"/>
        <v>1.5950503470418398</v>
      </c>
      <c r="AJ137" s="21">
        <v>2558373</v>
      </c>
      <c r="AK137" s="21">
        <v>5096544</v>
      </c>
      <c r="AL137" s="21">
        <v>5990357</v>
      </c>
      <c r="AM137" s="20">
        <v>938.00670000000002</v>
      </c>
      <c r="AN137" s="19">
        <v>9343924.1764833108</v>
      </c>
      <c r="AO137" s="21">
        <v>14743.566999999999</v>
      </c>
      <c r="AP137" s="21">
        <v>183.06700000000001</v>
      </c>
      <c r="AQ137" s="21">
        <v>137.167</v>
      </c>
      <c r="AR137" s="22">
        <v>0.13789999999999999</v>
      </c>
      <c r="AS137" s="22">
        <v>1.5586193593343101</v>
      </c>
      <c r="AT137" s="20">
        <v>91.3</v>
      </c>
      <c r="AU137" s="20">
        <v>-11</v>
      </c>
    </row>
    <row r="138" spans="1:47" ht="16" customHeight="1" x14ac:dyDescent="0.2">
      <c r="A138" s="18" t="s">
        <v>250</v>
      </c>
      <c r="B138" s="19">
        <v>2537526.5</v>
      </c>
      <c r="C138" s="19">
        <v>1405592.5</v>
      </c>
      <c r="D138" s="19">
        <v>527195.6</v>
      </c>
      <c r="E138" s="19">
        <v>541556.6</v>
      </c>
      <c r="F138" s="19">
        <v>770073.9</v>
      </c>
      <c r="G138" s="19">
        <v>724754.2</v>
      </c>
      <c r="H138" s="19">
        <v>819396.2</v>
      </c>
      <c r="I138" s="20">
        <v>80.599999999999994</v>
      </c>
      <c r="J138" s="21">
        <v>78.102000000000004</v>
      </c>
      <c r="K138" s="21">
        <v>78.882999999999996</v>
      </c>
      <c r="L138" s="21">
        <v>76.867000000000004</v>
      </c>
      <c r="M138" s="21">
        <v>78.234999999999999</v>
      </c>
      <c r="N138" s="21">
        <v>85.227000000000004</v>
      </c>
      <c r="O138" s="21">
        <v>84.521000000000001</v>
      </c>
      <c r="P138" s="21">
        <v>81.126666666666694</v>
      </c>
      <c r="Q138" s="21">
        <v>69.225520647622602</v>
      </c>
      <c r="R138" s="21">
        <v>28.45</v>
      </c>
      <c r="S138" s="21">
        <v>65.729562666666695</v>
      </c>
      <c r="T138" s="22">
        <v>80.69</v>
      </c>
      <c r="U138" s="19">
        <v>944789.5</v>
      </c>
      <c r="V138" s="19">
        <v>161242.07640220999</v>
      </c>
      <c r="W138" s="19">
        <v>146468.6</v>
      </c>
      <c r="X138" s="19">
        <v>123333.02</v>
      </c>
      <c r="Y138" s="21">
        <v>9.1622960531458109</v>
      </c>
      <c r="Z138" s="19">
        <v>59683689</v>
      </c>
      <c r="AA138" s="22">
        <v>0.37232694909787201</v>
      </c>
      <c r="AB138" s="22">
        <v>6.4504576407503</v>
      </c>
      <c r="AC138" s="20">
        <v>17.3247132832566</v>
      </c>
      <c r="AD138" s="20">
        <v>42.516247613313602</v>
      </c>
      <c r="AE138" s="20">
        <v>0.94077182802314696</v>
      </c>
      <c r="AF138" s="20">
        <v>0.88904694167852105</v>
      </c>
      <c r="AG138" s="20">
        <v>2.1392634105025401</v>
      </c>
      <c r="AH138" s="20">
        <v>4.1663903979547001</v>
      </c>
      <c r="AI138" s="21">
        <f t="shared" si="2"/>
        <v>2.02712698745216</v>
      </c>
      <c r="AJ138" s="21">
        <v>2623849</v>
      </c>
      <c r="AK138" s="21">
        <v>5167505</v>
      </c>
      <c r="AL138" s="21">
        <v>6057142</v>
      </c>
      <c r="AM138" s="20">
        <v>1000.2309</v>
      </c>
      <c r="AN138" s="19">
        <v>9493708.1456080992</v>
      </c>
      <c r="AO138" s="21">
        <v>14988.781999999999</v>
      </c>
      <c r="AP138" s="21">
        <v>184.43299999999999</v>
      </c>
      <c r="AQ138" s="21">
        <v>138.06700000000001</v>
      </c>
      <c r="AR138" s="22">
        <v>5.5500000000000001E-2</v>
      </c>
      <c r="AS138" s="22">
        <v>1.1164215087890601</v>
      </c>
      <c r="AT138" s="20">
        <v>92.5</v>
      </c>
      <c r="AU138" s="20">
        <v>-12.2</v>
      </c>
    </row>
    <row r="139" spans="1:47" ht="16" customHeight="1" x14ac:dyDescent="0.2">
      <c r="A139" s="18" t="s">
        <v>251</v>
      </c>
      <c r="B139" s="19">
        <v>2553479.4</v>
      </c>
      <c r="C139" s="19">
        <v>1410399.3</v>
      </c>
      <c r="D139" s="19">
        <v>529339.19999999995</v>
      </c>
      <c r="E139" s="19">
        <v>546526.6</v>
      </c>
      <c r="F139" s="19">
        <v>788701.3</v>
      </c>
      <c r="G139" s="19">
        <v>741563.6</v>
      </c>
      <c r="H139" s="19">
        <v>829277.2</v>
      </c>
      <c r="I139" s="20">
        <v>81.2</v>
      </c>
      <c r="J139" s="21">
        <v>78.289000000000001</v>
      </c>
      <c r="K139" s="21">
        <v>79.234999999999999</v>
      </c>
      <c r="L139" s="21">
        <v>76.162999999999997</v>
      </c>
      <c r="M139" s="21">
        <v>78.537999999999997</v>
      </c>
      <c r="N139" s="21">
        <v>85.27</v>
      </c>
      <c r="O139" s="21">
        <v>84.644000000000005</v>
      </c>
      <c r="P139" s="21">
        <v>81.5833333333333</v>
      </c>
      <c r="Q139" s="21">
        <v>73.020812351797403</v>
      </c>
      <c r="R139" s="21">
        <v>29.39</v>
      </c>
      <c r="S139" s="21">
        <v>71.597616666666696</v>
      </c>
      <c r="T139" s="22">
        <v>81.569999999999993</v>
      </c>
      <c r="U139" s="19">
        <v>946350.6</v>
      </c>
      <c r="V139" s="19">
        <v>161582.529436743</v>
      </c>
      <c r="W139" s="19">
        <v>146733.94</v>
      </c>
      <c r="X139" s="19">
        <v>123440.65</v>
      </c>
      <c r="Y139" s="21">
        <v>9.1894770359786406</v>
      </c>
      <c r="Z139" s="19">
        <v>59831031</v>
      </c>
      <c r="AA139" s="22">
        <v>0.37061219291606601</v>
      </c>
      <c r="AB139" s="22">
        <v>6.44943221724981</v>
      </c>
      <c r="AC139" s="20">
        <v>17.402104789117001</v>
      </c>
      <c r="AD139" s="20">
        <v>42.678178151401099</v>
      </c>
      <c r="AE139" s="20">
        <v>0.91629381144322697</v>
      </c>
      <c r="AF139" s="20">
        <v>0.84104289318755299</v>
      </c>
      <c r="AG139" s="20">
        <v>2.1496495169082102</v>
      </c>
      <c r="AH139" s="20">
        <v>4.3673033289855097</v>
      </c>
      <c r="AI139" s="21">
        <f t="shared" si="2"/>
        <v>2.2176538120772995</v>
      </c>
      <c r="AJ139" s="21">
        <v>2681722</v>
      </c>
      <c r="AK139" s="21">
        <v>5238327</v>
      </c>
      <c r="AL139" s="21">
        <v>6148767</v>
      </c>
      <c r="AM139" s="20">
        <v>1056.7605000000001</v>
      </c>
      <c r="AN139" s="19">
        <v>9604253.2536189202</v>
      </c>
      <c r="AO139" s="21">
        <v>15162.76</v>
      </c>
      <c r="AP139" s="21">
        <v>185.13300000000001</v>
      </c>
      <c r="AQ139" s="21">
        <v>139.233</v>
      </c>
      <c r="AR139" s="22">
        <v>4.02E-2</v>
      </c>
      <c r="AS139" s="22">
        <v>0.99760604858398505</v>
      </c>
      <c r="AT139" s="20">
        <v>97.1</v>
      </c>
      <c r="AU139" s="20">
        <v>-7</v>
      </c>
    </row>
    <row r="140" spans="1:47" ht="16" customHeight="1" x14ac:dyDescent="0.2">
      <c r="A140" s="18" t="s">
        <v>252</v>
      </c>
      <c r="B140" s="19">
        <v>2567170.2999999998</v>
      </c>
      <c r="C140" s="19">
        <v>1418053.5</v>
      </c>
      <c r="D140" s="19">
        <v>528383.19999999995</v>
      </c>
      <c r="E140" s="19">
        <v>546833.19999999995</v>
      </c>
      <c r="F140" s="19">
        <v>803870.6</v>
      </c>
      <c r="G140" s="19">
        <v>748536.7</v>
      </c>
      <c r="H140" s="19">
        <v>840379.8</v>
      </c>
      <c r="I140" s="20">
        <v>81.2</v>
      </c>
      <c r="J140" s="21">
        <v>78.644000000000005</v>
      </c>
      <c r="K140" s="21">
        <v>79.637</v>
      </c>
      <c r="L140" s="21">
        <v>76.909000000000006</v>
      </c>
      <c r="M140" s="21">
        <v>78.977999999999994</v>
      </c>
      <c r="N140" s="21">
        <v>85.350999999999999</v>
      </c>
      <c r="O140" s="21">
        <v>85.090999999999994</v>
      </c>
      <c r="P140" s="21">
        <v>81.88</v>
      </c>
      <c r="Q140" s="21">
        <v>80.100111953257198</v>
      </c>
      <c r="R140" s="21">
        <v>31.9233333333333</v>
      </c>
      <c r="S140" s="21">
        <v>80.272396666666694</v>
      </c>
      <c r="T140" s="22">
        <v>82.58</v>
      </c>
      <c r="U140" s="19">
        <v>954612.5</v>
      </c>
      <c r="V140" s="19">
        <v>162115.54484766201</v>
      </c>
      <c r="W140" s="19">
        <v>146967.70000000001</v>
      </c>
      <c r="X140" s="19">
        <v>123661.87</v>
      </c>
      <c r="Y140" s="21">
        <v>9.3438571001294797</v>
      </c>
      <c r="Z140" s="19">
        <v>59769285</v>
      </c>
      <c r="AA140" s="22">
        <v>0.37185398257373098</v>
      </c>
      <c r="AB140" s="22">
        <v>6.4953898033377397</v>
      </c>
      <c r="AC140" s="20">
        <v>17.467581652294999</v>
      </c>
      <c r="AD140" s="20">
        <v>42.951330269384997</v>
      </c>
      <c r="AE140" s="20">
        <v>0.89479133018784396</v>
      </c>
      <c r="AF140" s="20">
        <v>0.80019204609106198</v>
      </c>
      <c r="AG140" s="20">
        <v>2.0629507591442402</v>
      </c>
      <c r="AH140" s="20">
        <v>4.1531313444664004</v>
      </c>
      <c r="AI140" s="21">
        <f t="shared" si="2"/>
        <v>2.0901805853221602</v>
      </c>
      <c r="AJ140" s="21">
        <v>2760683</v>
      </c>
      <c r="AK140" s="21">
        <v>5316424</v>
      </c>
      <c r="AL140" s="21">
        <v>6232560</v>
      </c>
      <c r="AM140" s="20">
        <v>1133.1239</v>
      </c>
      <c r="AN140" s="19">
        <v>9660335.7202285994</v>
      </c>
      <c r="AO140" s="21">
        <v>15248.68</v>
      </c>
      <c r="AP140" s="21">
        <v>186.7</v>
      </c>
      <c r="AQ140" s="21">
        <v>142.19999999999999</v>
      </c>
      <c r="AR140" s="22">
        <v>1.95E-2</v>
      </c>
      <c r="AS140" s="22">
        <v>1.0062757619222</v>
      </c>
      <c r="AT140" s="20">
        <v>98</v>
      </c>
      <c r="AU140" s="20">
        <v>-5.5</v>
      </c>
    </row>
    <row r="141" spans="1:47" ht="16" customHeight="1" x14ac:dyDescent="0.2">
      <c r="A141" s="18" t="s">
        <v>253</v>
      </c>
      <c r="B141" s="19">
        <v>2582950</v>
      </c>
      <c r="C141" s="19">
        <v>1420772</v>
      </c>
      <c r="D141" s="19">
        <v>531197.1</v>
      </c>
      <c r="E141" s="19">
        <v>551510.19999999995</v>
      </c>
      <c r="F141" s="19">
        <v>829336.3</v>
      </c>
      <c r="G141" s="19">
        <v>767614.7</v>
      </c>
      <c r="H141" s="19">
        <v>855405.6</v>
      </c>
      <c r="I141" s="20">
        <v>81.2</v>
      </c>
      <c r="J141" s="21">
        <v>79.135999999999996</v>
      </c>
      <c r="K141" s="21">
        <v>80.236999999999995</v>
      </c>
      <c r="L141" s="21">
        <v>77.53</v>
      </c>
      <c r="M141" s="21">
        <v>79.781999999999996</v>
      </c>
      <c r="N141" s="21">
        <v>86.003</v>
      </c>
      <c r="O141" s="21">
        <v>86.381</v>
      </c>
      <c r="P141" s="21">
        <v>82.903333333333293</v>
      </c>
      <c r="Q141" s="21">
        <v>86.212285398161498</v>
      </c>
      <c r="R141" s="21">
        <v>35.446666666666701</v>
      </c>
      <c r="S141" s="21">
        <v>81.129810000000006</v>
      </c>
      <c r="T141" s="22">
        <v>84.46</v>
      </c>
      <c r="U141" s="19">
        <v>962459.1</v>
      </c>
      <c r="V141" s="19">
        <v>162481.61097001901</v>
      </c>
      <c r="W141" s="19">
        <v>147308.29999999999</v>
      </c>
      <c r="X141" s="19">
        <v>123931.69</v>
      </c>
      <c r="Y141" s="21">
        <v>9.3384789081263193</v>
      </c>
      <c r="Z141" s="19">
        <v>59959288</v>
      </c>
      <c r="AA141" s="22">
        <v>0.37262010491879399</v>
      </c>
      <c r="AB141" s="22">
        <v>6.5336379552272303</v>
      </c>
      <c r="AC141" s="20">
        <v>17.534314088208198</v>
      </c>
      <c r="AD141" s="20">
        <v>43.078396794838497</v>
      </c>
      <c r="AE141" s="20">
        <v>0.91565728168822802</v>
      </c>
      <c r="AF141" s="20">
        <v>0.83015108749792499</v>
      </c>
      <c r="AG141" s="20">
        <v>2.0824296536796498</v>
      </c>
      <c r="AH141" s="20">
        <v>4.3570782590187598</v>
      </c>
      <c r="AI141" s="21">
        <f t="shared" si="2"/>
        <v>2.27464860533911</v>
      </c>
      <c r="AJ141" s="21">
        <v>2796512</v>
      </c>
      <c r="AK141" s="21">
        <v>5385279</v>
      </c>
      <c r="AL141" s="21">
        <v>6315025</v>
      </c>
      <c r="AM141" s="20">
        <v>1123.3072999999999</v>
      </c>
      <c r="AN141" s="19">
        <v>9729774.7328711394</v>
      </c>
      <c r="AO141" s="21">
        <v>15366.85</v>
      </c>
      <c r="AP141" s="21">
        <v>188.167</v>
      </c>
      <c r="AQ141" s="21">
        <v>146.267</v>
      </c>
      <c r="AR141" s="22">
        <v>2.9399999999999999E-2</v>
      </c>
      <c r="AS141" s="22">
        <v>1.17325505574544</v>
      </c>
      <c r="AT141" s="20">
        <v>99.7</v>
      </c>
      <c r="AU141" s="20">
        <v>-3.6</v>
      </c>
    </row>
    <row r="142" spans="1:47" ht="16" customHeight="1" x14ac:dyDescent="0.2">
      <c r="A142" s="18" t="s">
        <v>254</v>
      </c>
      <c r="B142" s="19">
        <v>2588610.5</v>
      </c>
      <c r="C142" s="19">
        <v>1422833.7</v>
      </c>
      <c r="D142" s="19">
        <v>534127.4</v>
      </c>
      <c r="E142" s="19">
        <v>552390.40000000002</v>
      </c>
      <c r="F142" s="19">
        <v>830049.9</v>
      </c>
      <c r="G142" s="19">
        <v>778529</v>
      </c>
      <c r="H142" s="19">
        <v>859531.1</v>
      </c>
      <c r="I142" s="20">
        <v>81.599999999999994</v>
      </c>
      <c r="J142" s="21">
        <v>79.504000000000005</v>
      </c>
      <c r="K142" s="21">
        <v>80.634</v>
      </c>
      <c r="L142" s="21">
        <v>77.757000000000005</v>
      </c>
      <c r="M142" s="21">
        <v>80.3</v>
      </c>
      <c r="N142" s="21">
        <v>86.533000000000001</v>
      </c>
      <c r="O142" s="21">
        <v>87.150999999999996</v>
      </c>
      <c r="P142" s="21">
        <v>82.99</v>
      </c>
      <c r="Q142" s="21">
        <v>94.072112769285994</v>
      </c>
      <c r="R142" s="21">
        <v>41.386666666666699</v>
      </c>
      <c r="S142" s="21">
        <v>80.436113333333296</v>
      </c>
      <c r="T142" s="22">
        <v>86.22</v>
      </c>
      <c r="U142" s="19">
        <v>967226</v>
      </c>
      <c r="V142" s="19">
        <v>162839.22863749901</v>
      </c>
      <c r="W142" s="19">
        <v>147658.03</v>
      </c>
      <c r="X142" s="19">
        <v>124118.59</v>
      </c>
      <c r="Y142" s="21">
        <v>9.32281414283411</v>
      </c>
      <c r="Z142" s="19">
        <v>59993554</v>
      </c>
      <c r="AA142" s="22">
        <v>0.37364678849908101</v>
      </c>
      <c r="AB142" s="22">
        <v>6.5504463252015501</v>
      </c>
      <c r="AC142" s="20">
        <v>17.531119032266702</v>
      </c>
      <c r="AD142" s="20">
        <v>43.148143882257699</v>
      </c>
      <c r="AE142" s="20">
        <v>0.90840960188949205</v>
      </c>
      <c r="AF142" s="20">
        <v>0.81833060556464798</v>
      </c>
      <c r="AG142" s="20">
        <v>2.1163030303030301</v>
      </c>
      <c r="AH142" s="20">
        <v>4.2071425454545404</v>
      </c>
      <c r="AI142" s="21">
        <f t="shared" si="2"/>
        <v>2.0908395151515102</v>
      </c>
      <c r="AJ142" s="21">
        <v>2868123</v>
      </c>
      <c r="AK142" s="21">
        <v>5484081</v>
      </c>
      <c r="AL142" s="21">
        <v>6417367</v>
      </c>
      <c r="AM142" s="20">
        <v>1104.3809000000001</v>
      </c>
      <c r="AN142" s="19">
        <v>9825384.7938183509</v>
      </c>
      <c r="AO142" s="21">
        <v>15512.619000000001</v>
      </c>
      <c r="AP142" s="21">
        <v>189.36699999999999</v>
      </c>
      <c r="AQ142" s="21">
        <v>147.69999999999999</v>
      </c>
      <c r="AR142" s="22">
        <v>5.1299999999999998E-2</v>
      </c>
      <c r="AS142" s="22">
        <v>1.25120109558105</v>
      </c>
      <c r="AT142" s="20">
        <v>100.4</v>
      </c>
      <c r="AU142" s="20">
        <v>-2.8</v>
      </c>
    </row>
    <row r="143" spans="1:47" ht="16" customHeight="1" x14ac:dyDescent="0.2">
      <c r="A143" s="18" t="s">
        <v>255</v>
      </c>
      <c r="B143" s="19">
        <v>2600274.2000000002</v>
      </c>
      <c r="C143" s="19">
        <v>1435507.1</v>
      </c>
      <c r="D143" s="19">
        <v>533653</v>
      </c>
      <c r="E143" s="19">
        <v>554471.4</v>
      </c>
      <c r="F143" s="19">
        <v>841086.7</v>
      </c>
      <c r="G143" s="19">
        <v>790107.6</v>
      </c>
      <c r="H143" s="19">
        <v>868602.2</v>
      </c>
      <c r="I143" s="20">
        <v>81.7</v>
      </c>
      <c r="J143" s="21">
        <v>79.953000000000003</v>
      </c>
      <c r="K143" s="21">
        <v>80.947999999999993</v>
      </c>
      <c r="L143" s="21">
        <v>78.216999999999999</v>
      </c>
      <c r="M143" s="21">
        <v>80.838999999999999</v>
      </c>
      <c r="N143" s="21">
        <v>87.05</v>
      </c>
      <c r="O143" s="21">
        <v>87.692999999999998</v>
      </c>
      <c r="P143" s="21">
        <v>83.493333333333297</v>
      </c>
      <c r="Q143" s="21">
        <v>97.020819513397001</v>
      </c>
      <c r="R143" s="21">
        <v>44.163333333333298</v>
      </c>
      <c r="S143" s="21">
        <v>80.738568333333305</v>
      </c>
      <c r="T143" s="22">
        <v>87.45</v>
      </c>
      <c r="U143" s="19">
        <v>973873.1</v>
      </c>
      <c r="V143" s="19">
        <v>163264.28092742199</v>
      </c>
      <c r="W143" s="19">
        <v>148035.5</v>
      </c>
      <c r="X143" s="19">
        <v>124372.13</v>
      </c>
      <c r="Y143" s="21">
        <v>9.3276868895727105</v>
      </c>
      <c r="Z143" s="19">
        <v>60149445</v>
      </c>
      <c r="AA143" s="22">
        <v>0.37452707872115898</v>
      </c>
      <c r="AB143" s="22">
        <v>6.5786456626957701</v>
      </c>
      <c r="AC143" s="20">
        <v>17.565206994268301</v>
      </c>
      <c r="AD143" s="20">
        <v>43.230227643829501</v>
      </c>
      <c r="AE143" s="20">
        <v>0.88501788621148003</v>
      </c>
      <c r="AF143" s="20">
        <v>0.77059412807274397</v>
      </c>
      <c r="AG143" s="20">
        <v>2.1636084760649998</v>
      </c>
      <c r="AH143" s="20">
        <v>3.8458176056841702</v>
      </c>
      <c r="AI143" s="21">
        <f t="shared" si="2"/>
        <v>1.6822091296191704</v>
      </c>
      <c r="AJ143" s="21">
        <v>2905953</v>
      </c>
      <c r="AK143" s="21">
        <v>5573540</v>
      </c>
      <c r="AL143" s="21">
        <v>6540370</v>
      </c>
      <c r="AM143" s="20">
        <v>1162.4244000000001</v>
      </c>
      <c r="AN143" s="19">
        <v>9921690.8938151095</v>
      </c>
      <c r="AO143" s="21">
        <v>15670.88</v>
      </c>
      <c r="AP143" s="21">
        <v>191.4</v>
      </c>
      <c r="AQ143" s="21">
        <v>150.53299999999999</v>
      </c>
      <c r="AR143" s="22">
        <v>3.1600000000000003E-2</v>
      </c>
      <c r="AS143" s="22">
        <v>0.99739011128743604</v>
      </c>
      <c r="AT143" s="20">
        <v>101</v>
      </c>
      <c r="AU143" s="20">
        <v>-2.1</v>
      </c>
    </row>
    <row r="144" spans="1:47" ht="16" customHeight="1" x14ac:dyDescent="0.2">
      <c r="A144" s="18" t="s">
        <v>256</v>
      </c>
      <c r="B144" s="19">
        <v>2607160.1</v>
      </c>
      <c r="C144" s="19">
        <v>1440502.4</v>
      </c>
      <c r="D144" s="19">
        <v>536934.19999999995</v>
      </c>
      <c r="E144" s="19">
        <v>555599.5</v>
      </c>
      <c r="F144" s="19">
        <v>846158.4</v>
      </c>
      <c r="G144" s="19">
        <v>789566.2</v>
      </c>
      <c r="H144" s="19">
        <v>875952.5</v>
      </c>
      <c r="I144" s="20">
        <v>81.400000000000006</v>
      </c>
      <c r="J144" s="21">
        <v>80.238</v>
      </c>
      <c r="K144" s="21">
        <v>81.361000000000004</v>
      </c>
      <c r="L144" s="21">
        <v>78.664000000000001</v>
      </c>
      <c r="M144" s="21">
        <v>81.13</v>
      </c>
      <c r="N144" s="21">
        <v>87.465000000000003</v>
      </c>
      <c r="O144" s="21">
        <v>88.102999999999994</v>
      </c>
      <c r="P144" s="21">
        <v>83.576666666666696</v>
      </c>
      <c r="Q144" s="21">
        <v>105.58524331767001</v>
      </c>
      <c r="R144" s="21">
        <v>47.696666666666701</v>
      </c>
      <c r="S144" s="21">
        <v>88.976076000000006</v>
      </c>
      <c r="T144" s="22">
        <v>88.87</v>
      </c>
      <c r="U144" s="19">
        <v>980501.2</v>
      </c>
      <c r="V144" s="19">
        <v>163398.43993555699</v>
      </c>
      <c r="W144" s="19">
        <v>148277.69</v>
      </c>
      <c r="X144" s="19">
        <v>124701.48</v>
      </c>
      <c r="Y144" s="21">
        <v>9.2539132818653798</v>
      </c>
      <c r="Z144" s="19">
        <v>60159016</v>
      </c>
      <c r="AA144" s="22">
        <v>0.37608016477392398</v>
      </c>
      <c r="AB144" s="22">
        <v>6.6126009920979998</v>
      </c>
      <c r="AC144" s="20">
        <v>17.582956006395801</v>
      </c>
      <c r="AD144" s="20">
        <v>43.337811575907402</v>
      </c>
      <c r="AE144" s="20">
        <v>0.889136529877951</v>
      </c>
      <c r="AF144" s="20">
        <v>0.76260199801723505</v>
      </c>
      <c r="AG144" s="20">
        <v>2.1403230158730202</v>
      </c>
      <c r="AH144" s="20">
        <v>3.6704455910973102</v>
      </c>
      <c r="AI144" s="21">
        <f t="shared" si="2"/>
        <v>1.53012257522429</v>
      </c>
      <c r="AJ144" s="21">
        <v>3006328</v>
      </c>
      <c r="AK144" s="21">
        <v>5679341</v>
      </c>
      <c r="AL144" s="21">
        <v>6628904</v>
      </c>
      <c r="AM144" s="20">
        <v>1191.7191</v>
      </c>
      <c r="AN144" s="19">
        <v>10029647.537577299</v>
      </c>
      <c r="AO144" s="21">
        <v>15844.727000000001</v>
      </c>
      <c r="AP144" s="21">
        <v>192.36699999999999</v>
      </c>
      <c r="AQ144" s="21">
        <v>152.06700000000001</v>
      </c>
      <c r="AR144" s="22">
        <v>2.8199999999999999E-2</v>
      </c>
      <c r="AS144" s="22">
        <v>0.81319897969563804</v>
      </c>
      <c r="AT144" s="20">
        <v>100.5</v>
      </c>
      <c r="AU144" s="20">
        <v>-4.0999999999999996</v>
      </c>
    </row>
    <row r="145" spans="1:47" ht="16" customHeight="1" x14ac:dyDescent="0.2">
      <c r="A145" s="18" t="s">
        <v>257</v>
      </c>
      <c r="B145" s="19">
        <v>2623442.2999999998</v>
      </c>
      <c r="C145" s="19">
        <v>1451415.8</v>
      </c>
      <c r="D145" s="19">
        <v>539887.1</v>
      </c>
      <c r="E145" s="19">
        <v>565659</v>
      </c>
      <c r="F145" s="19">
        <v>860746.1</v>
      </c>
      <c r="G145" s="19">
        <v>813864</v>
      </c>
      <c r="H145" s="19">
        <v>884759.1</v>
      </c>
      <c r="I145" s="20">
        <v>80.7</v>
      </c>
      <c r="J145" s="21">
        <v>80.606999999999999</v>
      </c>
      <c r="K145" s="21">
        <v>81.677999999999997</v>
      </c>
      <c r="L145" s="21">
        <v>79.12</v>
      </c>
      <c r="M145" s="21">
        <v>81.617999999999995</v>
      </c>
      <c r="N145" s="21">
        <v>87.725999999999999</v>
      </c>
      <c r="O145" s="21">
        <v>88.486000000000004</v>
      </c>
      <c r="P145" s="21">
        <v>84.6</v>
      </c>
      <c r="Q145" s="21">
        <v>110.122757258196</v>
      </c>
      <c r="R145" s="21">
        <v>51.626666666666701</v>
      </c>
      <c r="S145" s="21">
        <v>86.319276000000002</v>
      </c>
      <c r="T145" s="22">
        <v>90.56</v>
      </c>
      <c r="U145" s="19">
        <v>989503.9</v>
      </c>
      <c r="V145" s="19">
        <v>163936.19469460801</v>
      </c>
      <c r="W145" s="19">
        <v>148716.12</v>
      </c>
      <c r="X145" s="19">
        <v>125109.83</v>
      </c>
      <c r="Y145" s="21">
        <v>9.2841454097194198</v>
      </c>
      <c r="Z145" s="19">
        <v>60623941</v>
      </c>
      <c r="AA145" s="22">
        <v>0.37717768749859698</v>
      </c>
      <c r="AB145" s="22">
        <v>6.653642523756</v>
      </c>
      <c r="AC145" s="20">
        <v>17.6406047979197</v>
      </c>
      <c r="AD145" s="20">
        <v>43.274030964103801</v>
      </c>
      <c r="AE145" s="20">
        <v>0.91013038831319804</v>
      </c>
      <c r="AF145" s="20">
        <v>0.79402890265205694</v>
      </c>
      <c r="AG145" s="20">
        <v>2.1246399711399699</v>
      </c>
      <c r="AH145" s="20">
        <v>3.41082910533911</v>
      </c>
      <c r="AI145" s="21">
        <f t="shared" si="2"/>
        <v>1.28618913419914</v>
      </c>
      <c r="AJ145" s="21">
        <v>3256960</v>
      </c>
      <c r="AK145" s="21">
        <v>5824959</v>
      </c>
      <c r="AL145" s="21">
        <v>6807158</v>
      </c>
      <c r="AM145" s="20">
        <v>1181.9621999999999</v>
      </c>
      <c r="AN145" s="19">
        <v>10077734.525461201</v>
      </c>
      <c r="AO145" s="21">
        <v>15922.781999999999</v>
      </c>
      <c r="AP145" s="21">
        <v>193.667</v>
      </c>
      <c r="AQ145" s="21">
        <v>154.53299999999999</v>
      </c>
      <c r="AR145" s="22">
        <v>3.9800000000000002E-2</v>
      </c>
      <c r="AS145" s="22">
        <v>0.76514284769693997</v>
      </c>
      <c r="AT145" s="20">
        <v>98.2</v>
      </c>
      <c r="AU145" s="20">
        <v>-8</v>
      </c>
    </row>
    <row r="146" spans="1:47" ht="16" customHeight="1" x14ac:dyDescent="0.2">
      <c r="A146" s="18" t="s">
        <v>258</v>
      </c>
      <c r="B146" s="19">
        <v>2643011.7000000002</v>
      </c>
      <c r="C146" s="19">
        <v>1458258.6</v>
      </c>
      <c r="D146" s="19">
        <v>541211</v>
      </c>
      <c r="E146" s="19">
        <v>572879</v>
      </c>
      <c r="F146" s="19">
        <v>880494.4</v>
      </c>
      <c r="G146" s="19">
        <v>828866.7</v>
      </c>
      <c r="H146" s="19">
        <v>895934.4</v>
      </c>
      <c r="I146" s="20">
        <v>81.099999999999994</v>
      </c>
      <c r="J146" s="21">
        <v>80.998999999999995</v>
      </c>
      <c r="K146" s="21">
        <v>82.272999999999996</v>
      </c>
      <c r="L146" s="21">
        <v>79.796999999999997</v>
      </c>
      <c r="M146" s="21">
        <v>82.138999999999996</v>
      </c>
      <c r="N146" s="21">
        <v>88.433000000000007</v>
      </c>
      <c r="O146" s="21">
        <v>89.956000000000003</v>
      </c>
      <c r="P146" s="21">
        <v>84.91</v>
      </c>
      <c r="Q146" s="21">
        <v>120.637108716429</v>
      </c>
      <c r="R146" s="21">
        <v>61.47</v>
      </c>
      <c r="S146" s="21">
        <v>83.823395333333394</v>
      </c>
      <c r="T146" s="22">
        <v>92.34</v>
      </c>
      <c r="U146" s="19">
        <v>998868.3</v>
      </c>
      <c r="V146" s="19">
        <v>164095.18419599699</v>
      </c>
      <c r="W146" s="19">
        <v>149115.57</v>
      </c>
      <c r="X146" s="19">
        <v>125584.43</v>
      </c>
      <c r="Y146" s="21">
        <v>9.1286129263274791</v>
      </c>
      <c r="Z146" s="19">
        <v>60621094</v>
      </c>
      <c r="AA146" s="22">
        <v>0.377928065925701</v>
      </c>
      <c r="AB146" s="22">
        <v>6.6986183937733701</v>
      </c>
      <c r="AC146" s="20">
        <v>17.7245857022174</v>
      </c>
      <c r="AD146" s="20">
        <v>43.598878304637701</v>
      </c>
      <c r="AE146" s="20">
        <v>0.92707332222905503</v>
      </c>
      <c r="AF146" s="20">
        <v>0.81973932289531903</v>
      </c>
      <c r="AG146" s="20">
        <v>2.1303477319781701</v>
      </c>
      <c r="AH146" s="20">
        <v>3.2623580809649302</v>
      </c>
      <c r="AI146" s="21">
        <f t="shared" si="2"/>
        <v>1.1320103489867601</v>
      </c>
      <c r="AJ146" s="21">
        <v>3343523</v>
      </c>
      <c r="AK146" s="21">
        <v>5980748</v>
      </c>
      <c r="AL146" s="21">
        <v>6972348</v>
      </c>
      <c r="AM146" s="20">
        <v>1223.5797</v>
      </c>
      <c r="AN146" s="19">
        <v>10156915.232593801</v>
      </c>
      <c r="AO146" s="21">
        <v>16047.587</v>
      </c>
      <c r="AP146" s="21">
        <v>196.6</v>
      </c>
      <c r="AQ146" s="21">
        <v>158.69999999999999</v>
      </c>
      <c r="AR146" s="22">
        <v>3.04E-2</v>
      </c>
      <c r="AS146" s="22">
        <v>0.99201250712076805</v>
      </c>
      <c r="AT146" s="20">
        <v>98.7</v>
      </c>
      <c r="AU146" s="20">
        <v>-6.3</v>
      </c>
    </row>
    <row r="147" spans="1:47" ht="16" customHeight="1" x14ac:dyDescent="0.2">
      <c r="A147" s="18" t="s">
        <v>259</v>
      </c>
      <c r="B147" s="19">
        <v>2661274.1</v>
      </c>
      <c r="C147" s="19">
        <v>1464118.9</v>
      </c>
      <c r="D147" s="19">
        <v>541760.19999999995</v>
      </c>
      <c r="E147" s="19">
        <v>578089.19999999995</v>
      </c>
      <c r="F147" s="19">
        <v>897598</v>
      </c>
      <c r="G147" s="19">
        <v>847858.9</v>
      </c>
      <c r="H147" s="19">
        <v>909445.6</v>
      </c>
      <c r="I147" s="20">
        <v>81.599999999999994</v>
      </c>
      <c r="J147" s="21">
        <v>81.53</v>
      </c>
      <c r="K147" s="21">
        <v>82.668000000000006</v>
      </c>
      <c r="L147" s="21">
        <v>80.813000000000002</v>
      </c>
      <c r="M147" s="21">
        <v>82.599000000000004</v>
      </c>
      <c r="N147" s="21">
        <v>89.054000000000002</v>
      </c>
      <c r="O147" s="21">
        <v>91.084000000000003</v>
      </c>
      <c r="P147" s="21">
        <v>85.463333333333296</v>
      </c>
      <c r="Q147" s="21">
        <v>116.791301403937</v>
      </c>
      <c r="R147" s="21">
        <v>56.88</v>
      </c>
      <c r="S147" s="21">
        <v>87.604886666666701</v>
      </c>
      <c r="T147" s="22">
        <v>93.58</v>
      </c>
      <c r="U147" s="19">
        <v>1012496.8</v>
      </c>
      <c r="V147" s="19">
        <v>164640.73851709499</v>
      </c>
      <c r="W147" s="19">
        <v>149759.09</v>
      </c>
      <c r="X147" s="19">
        <v>126156.73</v>
      </c>
      <c r="Y147" s="21">
        <v>9.0388616153770496</v>
      </c>
      <c r="Z147" s="19">
        <v>61077150</v>
      </c>
      <c r="AA147" s="22">
        <v>0.38045566219578802</v>
      </c>
      <c r="AB147" s="22">
        <v>6.7608370216458997</v>
      </c>
      <c r="AC147" s="20">
        <v>17.7703677285966</v>
      </c>
      <c r="AD147" s="20">
        <v>43.572335971799603</v>
      </c>
      <c r="AE147" s="20">
        <v>0.93878643078092905</v>
      </c>
      <c r="AF147" s="20">
        <v>0.84146751935375297</v>
      </c>
      <c r="AG147" s="20">
        <v>2.3434466089466102</v>
      </c>
      <c r="AH147" s="20">
        <v>3.4198654538239501</v>
      </c>
      <c r="AI147" s="21">
        <f t="shared" si="2"/>
        <v>1.07641884487734</v>
      </c>
      <c r="AJ147" s="21">
        <v>3422279</v>
      </c>
      <c r="AK147" s="21">
        <v>6093186</v>
      </c>
      <c r="AL147" s="21">
        <v>7087688</v>
      </c>
      <c r="AM147" s="20">
        <v>1230.9957999999999</v>
      </c>
      <c r="AN147" s="19">
        <v>10207749.3026454</v>
      </c>
      <c r="AO147" s="21">
        <v>16136.734</v>
      </c>
      <c r="AP147" s="21">
        <v>198.43299999999999</v>
      </c>
      <c r="AQ147" s="21">
        <v>164.3</v>
      </c>
      <c r="AR147" s="22">
        <v>1.6500000000000001E-2</v>
      </c>
      <c r="AS147" s="22">
        <v>0.77116483052571605</v>
      </c>
      <c r="AT147" s="20">
        <v>102.5</v>
      </c>
      <c r="AU147" s="20">
        <v>-2.5</v>
      </c>
    </row>
    <row r="148" spans="1:47" ht="16" customHeight="1" x14ac:dyDescent="0.2">
      <c r="A148" s="18" t="s">
        <v>260</v>
      </c>
      <c r="B148" s="19">
        <v>2686128.9</v>
      </c>
      <c r="C148" s="19">
        <v>1473589.8</v>
      </c>
      <c r="D148" s="19">
        <v>547338.19999999995</v>
      </c>
      <c r="E148" s="19">
        <v>585265.30000000005</v>
      </c>
      <c r="F148" s="19">
        <v>918684</v>
      </c>
      <c r="G148" s="19">
        <v>868151.3</v>
      </c>
      <c r="H148" s="19">
        <v>923091.5</v>
      </c>
      <c r="I148" s="20">
        <v>81.8</v>
      </c>
      <c r="J148" s="21">
        <v>81.769000000000005</v>
      </c>
      <c r="K148" s="21">
        <v>83.212000000000003</v>
      </c>
      <c r="L148" s="21">
        <v>80.852999999999994</v>
      </c>
      <c r="M148" s="21">
        <v>83.167000000000002</v>
      </c>
      <c r="N148" s="21">
        <v>89.66</v>
      </c>
      <c r="O148" s="21">
        <v>92.334999999999994</v>
      </c>
      <c r="P148" s="21">
        <v>85.543333333333294</v>
      </c>
      <c r="Q148" s="21">
        <v>128.26612335938901</v>
      </c>
      <c r="R148" s="21">
        <v>61.753333333333302</v>
      </c>
      <c r="S148" s="21">
        <v>96.416444666666607</v>
      </c>
      <c r="T148" s="22">
        <v>94.49</v>
      </c>
      <c r="U148" s="19">
        <v>1019803.6</v>
      </c>
      <c r="V148" s="19">
        <v>165042.36474139499</v>
      </c>
      <c r="W148" s="19">
        <v>150464.95999999999</v>
      </c>
      <c r="X148" s="19">
        <v>126687.92</v>
      </c>
      <c r="Y148" s="21">
        <v>8.8325229490234207</v>
      </c>
      <c r="Z148" s="19">
        <v>61368806</v>
      </c>
      <c r="AA148" s="22">
        <v>0.37965549605605298</v>
      </c>
      <c r="AB148" s="22">
        <v>6.77768166089965</v>
      </c>
      <c r="AC148" s="20">
        <v>17.852188974762001</v>
      </c>
      <c r="AD148" s="20">
        <v>43.770264977943398</v>
      </c>
      <c r="AE148" s="20">
        <v>0.93865689462262303</v>
      </c>
      <c r="AF148" s="20">
        <v>0.83173916659735503</v>
      </c>
      <c r="AG148" s="20">
        <v>2.61154683794466</v>
      </c>
      <c r="AH148" s="20">
        <v>3.5582960356390001</v>
      </c>
      <c r="AI148" s="21">
        <f t="shared" si="2"/>
        <v>0.94674919769434007</v>
      </c>
      <c r="AJ148" s="21">
        <v>3489442</v>
      </c>
      <c r="AK148" s="21">
        <v>6222149</v>
      </c>
      <c r="AL148" s="21">
        <v>7221902</v>
      </c>
      <c r="AM148" s="20">
        <v>1282.8859</v>
      </c>
      <c r="AN148" s="19">
        <v>10339914.580075201</v>
      </c>
      <c r="AO148" s="21">
        <v>16353.834999999999</v>
      </c>
      <c r="AP148" s="21">
        <v>199.46700000000001</v>
      </c>
      <c r="AQ148" s="21">
        <v>162.767</v>
      </c>
      <c r="AR148" s="22">
        <v>2.7E-2</v>
      </c>
      <c r="AS148" s="22">
        <v>0.79709452311197904</v>
      </c>
      <c r="AT148" s="20">
        <v>105.7</v>
      </c>
      <c r="AU148" s="20">
        <v>-0.8</v>
      </c>
    </row>
    <row r="149" spans="1:47" ht="16" customHeight="1" x14ac:dyDescent="0.2">
      <c r="A149" s="18" t="s">
        <v>261</v>
      </c>
      <c r="B149" s="19">
        <v>2715923</v>
      </c>
      <c r="C149" s="19">
        <v>1482997.9</v>
      </c>
      <c r="D149" s="19">
        <v>549216.4</v>
      </c>
      <c r="E149" s="19">
        <v>599692.1</v>
      </c>
      <c r="F149" s="19">
        <v>940056.2</v>
      </c>
      <c r="G149" s="19">
        <v>884451.1</v>
      </c>
      <c r="H149" s="19">
        <v>945737.4</v>
      </c>
      <c r="I149" s="20">
        <v>82.8</v>
      </c>
      <c r="J149" s="21">
        <v>82.275000000000006</v>
      </c>
      <c r="K149" s="21">
        <v>83.802999999999997</v>
      </c>
      <c r="L149" s="21">
        <v>81.492000000000004</v>
      </c>
      <c r="M149" s="21">
        <v>83.915000000000006</v>
      </c>
      <c r="N149" s="21">
        <v>90.063999999999993</v>
      </c>
      <c r="O149" s="21">
        <v>92.64</v>
      </c>
      <c r="P149" s="21">
        <v>86.706666666666706</v>
      </c>
      <c r="Q149" s="21">
        <v>142.17952991883101</v>
      </c>
      <c r="R149" s="21">
        <v>69.533333333333303</v>
      </c>
      <c r="S149" s="21">
        <v>104.938074</v>
      </c>
      <c r="T149" s="22">
        <v>96.75</v>
      </c>
      <c r="U149" s="19">
        <v>1033042.4</v>
      </c>
      <c r="V149" s="19">
        <v>165473.371243248</v>
      </c>
      <c r="W149" s="19">
        <v>151313.4</v>
      </c>
      <c r="X149" s="19">
        <v>127414.83</v>
      </c>
      <c r="Y149" s="21">
        <v>8.5572507146377994</v>
      </c>
      <c r="Z149" s="19">
        <v>61670545</v>
      </c>
      <c r="AA149" s="22">
        <v>0.38036512817189599</v>
      </c>
      <c r="AB149" s="22">
        <v>6.8271706273205197</v>
      </c>
      <c r="AC149" s="20">
        <v>17.948991959733899</v>
      </c>
      <c r="AD149" s="20">
        <v>44.0392248844242</v>
      </c>
      <c r="AE149" s="20">
        <v>0.91373183615326203</v>
      </c>
      <c r="AF149" s="20">
        <v>0.79478620251152399</v>
      </c>
      <c r="AG149" s="20">
        <v>2.8894865319865302</v>
      </c>
      <c r="AH149" s="20">
        <v>4.0490071418972304</v>
      </c>
      <c r="AI149" s="21">
        <f t="shared" si="2"/>
        <v>1.1595206099107003</v>
      </c>
      <c r="AJ149" s="21">
        <v>3560905</v>
      </c>
      <c r="AK149" s="21">
        <v>6363553</v>
      </c>
      <c r="AL149" s="21">
        <v>7384631</v>
      </c>
      <c r="AM149" s="20">
        <v>1281.4079999999999</v>
      </c>
      <c r="AN149" s="19">
        <v>10363494.275652001</v>
      </c>
      <c r="AO149" s="21">
        <v>16396.151000000002</v>
      </c>
      <c r="AP149" s="21">
        <v>201.267</v>
      </c>
      <c r="AQ149" s="21">
        <v>165.4</v>
      </c>
      <c r="AR149" s="22">
        <v>4.19E-2</v>
      </c>
      <c r="AS149" s="22">
        <v>0.77625050862630196</v>
      </c>
      <c r="AT149" s="20">
        <v>108.4</v>
      </c>
      <c r="AU149" s="20">
        <v>3.3</v>
      </c>
    </row>
    <row r="150" spans="1:47" ht="16" customHeight="1" x14ac:dyDescent="0.2">
      <c r="A150" s="18" t="s">
        <v>262</v>
      </c>
      <c r="B150" s="19">
        <v>2730737.4</v>
      </c>
      <c r="C150" s="19">
        <v>1487682.5</v>
      </c>
      <c r="D150" s="19">
        <v>550957</v>
      </c>
      <c r="E150" s="19">
        <v>603537.4</v>
      </c>
      <c r="F150" s="19">
        <v>948634.3</v>
      </c>
      <c r="G150" s="19">
        <v>890770.7</v>
      </c>
      <c r="H150" s="19">
        <v>957575.7</v>
      </c>
      <c r="I150" s="20">
        <v>83.6</v>
      </c>
      <c r="J150" s="21">
        <v>82.75</v>
      </c>
      <c r="K150" s="21">
        <v>84.171000000000006</v>
      </c>
      <c r="L150" s="21">
        <v>81.683999999999997</v>
      </c>
      <c r="M150" s="21">
        <v>84.540999999999997</v>
      </c>
      <c r="N150" s="21">
        <v>90.498000000000005</v>
      </c>
      <c r="O150" s="21">
        <v>93.091999999999999</v>
      </c>
      <c r="P150" s="21">
        <v>86.776666666666699</v>
      </c>
      <c r="Q150" s="21">
        <v>143.135483107857</v>
      </c>
      <c r="R150" s="21">
        <v>69.62</v>
      </c>
      <c r="S150" s="21">
        <v>105.856101</v>
      </c>
      <c r="T150" s="22">
        <v>98.78</v>
      </c>
      <c r="U150" s="19">
        <v>1044572.8</v>
      </c>
      <c r="V150" s="19">
        <v>165730.375922265</v>
      </c>
      <c r="W150" s="19">
        <v>151974.64000000001</v>
      </c>
      <c r="X150" s="19">
        <v>128112.79</v>
      </c>
      <c r="Y150" s="21">
        <v>8.3000692212978908</v>
      </c>
      <c r="Z150" s="19">
        <v>62062149</v>
      </c>
      <c r="AA150" s="22">
        <v>0.38252407573133901</v>
      </c>
      <c r="AB150" s="22">
        <v>6.8733362355719301</v>
      </c>
      <c r="AC150" s="20">
        <v>17.968375513177701</v>
      </c>
      <c r="AD150" s="20">
        <v>44.000045825032601</v>
      </c>
      <c r="AE150" s="20">
        <v>0.904815518671924</v>
      </c>
      <c r="AF150" s="20">
        <v>0.78474456564388295</v>
      </c>
      <c r="AG150" s="20">
        <v>3.22134989648033</v>
      </c>
      <c r="AH150" s="20">
        <v>3.9681064982746701</v>
      </c>
      <c r="AI150" s="21">
        <f t="shared" si="2"/>
        <v>0.74675660179434011</v>
      </c>
      <c r="AJ150" s="21">
        <v>3590868</v>
      </c>
      <c r="AK150" s="21">
        <v>6486139</v>
      </c>
      <c r="AL150" s="21">
        <v>7573385</v>
      </c>
      <c r="AM150" s="20">
        <v>1288.6076</v>
      </c>
      <c r="AN150" s="19">
        <v>10374331.6658384</v>
      </c>
      <c r="AO150" s="21">
        <v>16420.738000000001</v>
      </c>
      <c r="AP150" s="21">
        <v>203.167</v>
      </c>
      <c r="AQ150" s="21">
        <v>166.7</v>
      </c>
      <c r="AR150" s="22">
        <v>2.4899999999999999E-2</v>
      </c>
      <c r="AS150" s="22">
        <v>1.0424468994140601</v>
      </c>
      <c r="AT150" s="20">
        <v>109.5</v>
      </c>
      <c r="AU150" s="20">
        <v>4.9000000000000004</v>
      </c>
    </row>
    <row r="151" spans="1:47" ht="16" customHeight="1" x14ac:dyDescent="0.2">
      <c r="A151" s="18" t="s">
        <v>263</v>
      </c>
      <c r="B151" s="19">
        <v>2762746.8</v>
      </c>
      <c r="C151" s="19">
        <v>1498351.4</v>
      </c>
      <c r="D151" s="19">
        <v>555965.80000000005</v>
      </c>
      <c r="E151" s="19">
        <v>617266.69999999995</v>
      </c>
      <c r="F151" s="19">
        <v>979050</v>
      </c>
      <c r="G151" s="19">
        <v>916451</v>
      </c>
      <c r="H151" s="19">
        <v>977425.8</v>
      </c>
      <c r="I151" s="20">
        <v>84</v>
      </c>
      <c r="J151" s="21">
        <v>83.156999999999996</v>
      </c>
      <c r="K151" s="21">
        <v>84.43</v>
      </c>
      <c r="L151" s="21">
        <v>81.798000000000002</v>
      </c>
      <c r="M151" s="21">
        <v>84.992000000000004</v>
      </c>
      <c r="N151" s="21">
        <v>90.826999999999998</v>
      </c>
      <c r="O151" s="21">
        <v>92.72</v>
      </c>
      <c r="P151" s="21">
        <v>87.006666666666703</v>
      </c>
      <c r="Q151" s="21">
        <v>133.29459751593799</v>
      </c>
      <c r="R151" s="21">
        <v>59.68</v>
      </c>
      <c r="S151" s="21">
        <v>112.108308666667</v>
      </c>
      <c r="T151" s="22">
        <v>99.48</v>
      </c>
      <c r="U151" s="19">
        <v>1056652</v>
      </c>
      <c r="V151" s="19">
        <v>166096.23942447201</v>
      </c>
      <c r="W151" s="19">
        <v>152635.9</v>
      </c>
      <c r="X151" s="19">
        <v>128745.04</v>
      </c>
      <c r="Y151" s="21">
        <v>8.1039399032228605</v>
      </c>
      <c r="Z151" s="19">
        <v>62398537</v>
      </c>
      <c r="AA151" s="22">
        <v>0.382464292420862</v>
      </c>
      <c r="AB151" s="22">
        <v>6.9226964298700402</v>
      </c>
      <c r="AC151" s="20">
        <v>18.100242472445899</v>
      </c>
      <c r="AD151" s="20">
        <v>44.275826530997001</v>
      </c>
      <c r="AE151" s="20">
        <v>0.90485973015273102</v>
      </c>
      <c r="AF151" s="20">
        <v>0.77597578955536595</v>
      </c>
      <c r="AG151" s="20">
        <v>3.5944641148325398</v>
      </c>
      <c r="AH151" s="20">
        <v>3.8626508044733101</v>
      </c>
      <c r="AI151" s="21">
        <f t="shared" si="2"/>
        <v>0.2681866896407703</v>
      </c>
      <c r="AJ151" s="21">
        <v>3696019</v>
      </c>
      <c r="AK151" s="21">
        <v>6663329</v>
      </c>
      <c r="AL151" s="21">
        <v>7753569</v>
      </c>
      <c r="AM151" s="20">
        <v>1389.6534999999999</v>
      </c>
      <c r="AN151" s="19">
        <v>10465791.437452899</v>
      </c>
      <c r="AO151" s="21">
        <v>16561.866000000002</v>
      </c>
      <c r="AP151" s="21">
        <v>202.333</v>
      </c>
      <c r="AQ151" s="21">
        <v>164.13300000000001</v>
      </c>
      <c r="AR151" s="22">
        <v>6.6E-3</v>
      </c>
      <c r="AS151" s="22">
        <v>0.82526458740234399</v>
      </c>
      <c r="AT151" s="20">
        <v>111.5</v>
      </c>
      <c r="AU151" s="20">
        <v>6.6</v>
      </c>
    </row>
    <row r="152" spans="1:47" ht="16" customHeight="1" x14ac:dyDescent="0.2">
      <c r="A152" s="18" t="s">
        <v>264</v>
      </c>
      <c r="B152" s="19">
        <v>2781784.6</v>
      </c>
      <c r="C152" s="19">
        <v>1501564.7</v>
      </c>
      <c r="D152" s="19">
        <v>558678.19999999995</v>
      </c>
      <c r="E152" s="19">
        <v>623986.1</v>
      </c>
      <c r="F152" s="19">
        <v>988392.2</v>
      </c>
      <c r="G152" s="19">
        <v>930228.5</v>
      </c>
      <c r="H152" s="19">
        <v>995361</v>
      </c>
      <c r="I152" s="20">
        <v>84</v>
      </c>
      <c r="J152" s="21">
        <v>83.911000000000001</v>
      </c>
      <c r="K152" s="21">
        <v>85.031000000000006</v>
      </c>
      <c r="L152" s="21">
        <v>82.162000000000006</v>
      </c>
      <c r="M152" s="21">
        <v>85.628</v>
      </c>
      <c r="N152" s="21">
        <v>91.173000000000002</v>
      </c>
      <c r="O152" s="21">
        <v>92.772999999999996</v>
      </c>
      <c r="P152" s="21">
        <v>87.17</v>
      </c>
      <c r="Q152" s="21">
        <v>133.70091488045301</v>
      </c>
      <c r="R152" s="21">
        <v>57.7633333333333</v>
      </c>
      <c r="S152" s="21">
        <v>117.412285333333</v>
      </c>
      <c r="T152" s="22">
        <v>100.49</v>
      </c>
      <c r="U152" s="19">
        <v>1068566.7</v>
      </c>
      <c r="V152" s="19">
        <v>166480.01792557299</v>
      </c>
      <c r="W152" s="19">
        <v>153418.39000000001</v>
      </c>
      <c r="X152" s="19">
        <v>129553.63</v>
      </c>
      <c r="Y152" s="21">
        <v>7.8457631662513903</v>
      </c>
      <c r="Z152" s="19">
        <v>62691240</v>
      </c>
      <c r="AA152" s="22">
        <v>0.384129921489967</v>
      </c>
      <c r="AB152" s="22">
        <v>6.9650496267103303</v>
      </c>
      <c r="AC152" s="20">
        <v>18.132015334015701</v>
      </c>
      <c r="AD152" s="20">
        <v>44.372779992866597</v>
      </c>
      <c r="AE152" s="20">
        <v>0.89956425107677795</v>
      </c>
      <c r="AF152" s="20">
        <v>0.76300930871356598</v>
      </c>
      <c r="AG152" s="20">
        <v>3.8203242424242401</v>
      </c>
      <c r="AH152" s="20">
        <v>4.0810149806324096</v>
      </c>
      <c r="AI152" s="21">
        <f t="shared" si="2"/>
        <v>0.26069073820816957</v>
      </c>
      <c r="AJ152" s="21">
        <v>3746750</v>
      </c>
      <c r="AK152" s="21">
        <v>6825507</v>
      </c>
      <c r="AL152" s="21">
        <v>8008864</v>
      </c>
      <c r="AM152" s="20">
        <v>1425.4070999999999</v>
      </c>
      <c r="AN152" s="19">
        <v>10497071.4437782</v>
      </c>
      <c r="AO152" s="21">
        <v>16611.689999999999</v>
      </c>
      <c r="AP152" s="21">
        <v>204.31700000000001</v>
      </c>
      <c r="AQ152" s="21">
        <v>166.7</v>
      </c>
      <c r="AR152" s="22">
        <v>3.04E-2</v>
      </c>
      <c r="AS152" s="22">
        <v>0.85827242533365899</v>
      </c>
      <c r="AT152" s="20">
        <v>111.2</v>
      </c>
      <c r="AU152" s="20">
        <v>6.6</v>
      </c>
    </row>
    <row r="153" spans="1:47" ht="16" customHeight="1" x14ac:dyDescent="0.2">
      <c r="A153" s="18" t="s">
        <v>265</v>
      </c>
      <c r="B153" s="19">
        <v>2800692.5</v>
      </c>
      <c r="C153" s="19">
        <v>1512833.5</v>
      </c>
      <c r="D153" s="19">
        <v>561406.69999999995</v>
      </c>
      <c r="E153" s="19">
        <v>627231.4</v>
      </c>
      <c r="F153" s="19">
        <v>1006004.4</v>
      </c>
      <c r="G153" s="19">
        <v>939860.5</v>
      </c>
      <c r="H153" s="19">
        <v>1009325.1</v>
      </c>
      <c r="I153" s="20">
        <v>84.5</v>
      </c>
      <c r="J153" s="21">
        <v>84.272000000000006</v>
      </c>
      <c r="K153" s="21">
        <v>85.617999999999995</v>
      </c>
      <c r="L153" s="21">
        <v>82.548000000000002</v>
      </c>
      <c r="M153" s="21">
        <v>86.168000000000006</v>
      </c>
      <c r="N153" s="21">
        <v>91.706999999999994</v>
      </c>
      <c r="O153" s="21">
        <v>93.637</v>
      </c>
      <c r="P153" s="21">
        <v>88.366666666666703</v>
      </c>
      <c r="Q153" s="21">
        <v>151.14118434193901</v>
      </c>
      <c r="R153" s="21">
        <v>68.5833333333333</v>
      </c>
      <c r="S153" s="21">
        <v>125.314882333333</v>
      </c>
      <c r="T153" s="22">
        <v>101.72</v>
      </c>
      <c r="U153" s="19">
        <v>1080710</v>
      </c>
      <c r="V153" s="19">
        <v>166897.59649540699</v>
      </c>
      <c r="W153" s="19">
        <v>154215.42000000001</v>
      </c>
      <c r="X153" s="19">
        <v>130227.81</v>
      </c>
      <c r="Y153" s="21">
        <v>7.5987771913516102</v>
      </c>
      <c r="Z153" s="19">
        <v>62962071</v>
      </c>
      <c r="AA153" s="22">
        <v>0.38587242262404697</v>
      </c>
      <c r="AB153" s="22">
        <v>7.0077946809728902</v>
      </c>
      <c r="AC153" s="20">
        <v>18.160910886861998</v>
      </c>
      <c r="AD153" s="20">
        <v>44.482216920723602</v>
      </c>
      <c r="AE153" s="20">
        <v>0.89047432896080803</v>
      </c>
      <c r="AF153" s="20">
        <v>0.74178473407017298</v>
      </c>
      <c r="AG153" s="20">
        <v>4.06479623300676</v>
      </c>
      <c r="AH153" s="20">
        <v>4.4265776680469298</v>
      </c>
      <c r="AI153" s="21">
        <f t="shared" si="2"/>
        <v>0.3617814350401698</v>
      </c>
      <c r="AJ153" s="21">
        <v>3794192</v>
      </c>
      <c r="AK153" s="21">
        <v>6987296</v>
      </c>
      <c r="AL153" s="21">
        <v>8206302</v>
      </c>
      <c r="AM153" s="20">
        <v>1496.1755000000001</v>
      </c>
      <c r="AN153" s="19">
        <v>10553007.672957599</v>
      </c>
      <c r="AO153" s="21">
        <v>16713.313999999998</v>
      </c>
      <c r="AP153" s="21">
        <v>206.631</v>
      </c>
      <c r="AQ153" s="21">
        <v>172.833</v>
      </c>
      <c r="AR153" s="22">
        <v>6.8999999999999999E-3</v>
      </c>
      <c r="AS153" s="22">
        <v>0.84723579406738303</v>
      </c>
      <c r="AT153" s="20">
        <v>112.3</v>
      </c>
      <c r="AU153" s="20">
        <v>6.9</v>
      </c>
    </row>
    <row r="154" spans="1:47" ht="16" customHeight="1" x14ac:dyDescent="0.2">
      <c r="A154" s="18" t="s">
        <v>266</v>
      </c>
      <c r="B154" s="19">
        <v>2811674.5</v>
      </c>
      <c r="C154" s="19">
        <v>1517557.9</v>
      </c>
      <c r="D154" s="19">
        <v>563562.69999999995</v>
      </c>
      <c r="E154" s="19">
        <v>631332.6</v>
      </c>
      <c r="F154" s="19">
        <v>1019908</v>
      </c>
      <c r="G154" s="19">
        <v>956981.6</v>
      </c>
      <c r="H154" s="19">
        <v>1018600.8</v>
      </c>
      <c r="I154" s="20">
        <v>84.4</v>
      </c>
      <c r="J154" s="21">
        <v>84.715000000000003</v>
      </c>
      <c r="K154" s="21">
        <v>86.09</v>
      </c>
      <c r="L154" s="21">
        <v>83.031999999999996</v>
      </c>
      <c r="M154" s="21">
        <v>86.480999999999995</v>
      </c>
      <c r="N154" s="21">
        <v>91.994</v>
      </c>
      <c r="O154" s="21">
        <v>93.988</v>
      </c>
      <c r="P154" s="21">
        <v>88.44</v>
      </c>
      <c r="Q154" s="21">
        <v>155.910694865577</v>
      </c>
      <c r="R154" s="21">
        <v>74.953333333333305</v>
      </c>
      <c r="S154" s="21">
        <v>124.12740933333301</v>
      </c>
      <c r="T154" s="22">
        <v>103.13</v>
      </c>
      <c r="U154" s="19">
        <v>1092265.6000000001</v>
      </c>
      <c r="V154" s="19">
        <v>167484.42590932001</v>
      </c>
      <c r="W154" s="19">
        <v>154876.47</v>
      </c>
      <c r="X154" s="19">
        <v>130759.74</v>
      </c>
      <c r="Y154" s="21">
        <v>7.52783779200211</v>
      </c>
      <c r="Z154" s="19">
        <v>63269719</v>
      </c>
      <c r="AA154" s="22">
        <v>0.388475123987503</v>
      </c>
      <c r="AB154" s="22">
        <v>7.0524954500835397</v>
      </c>
      <c r="AC154" s="20">
        <v>18.1543038784394</v>
      </c>
      <c r="AD154" s="20">
        <v>44.439497194542597</v>
      </c>
      <c r="AE154" s="20">
        <v>0.88619747433719798</v>
      </c>
      <c r="AF154" s="20">
        <v>0.72790799242975701</v>
      </c>
      <c r="AG154" s="20">
        <v>4.5004968379446604</v>
      </c>
      <c r="AH154" s="20">
        <v>4.4747141154150203</v>
      </c>
      <c r="AI154" s="21">
        <f t="shared" si="2"/>
        <v>-2.578272252964009E-2</v>
      </c>
      <c r="AJ154" s="21">
        <v>3831681</v>
      </c>
      <c r="AK154" s="21">
        <v>7161755</v>
      </c>
      <c r="AL154" s="21">
        <v>8418602</v>
      </c>
      <c r="AM154" s="20">
        <v>1490.4902999999999</v>
      </c>
      <c r="AN154" s="19">
        <v>10604819.456479</v>
      </c>
      <c r="AO154" s="21">
        <v>16809.587</v>
      </c>
      <c r="AP154" s="21">
        <v>207.93899999999999</v>
      </c>
      <c r="AQ154" s="21">
        <v>173.667</v>
      </c>
      <c r="AR154" s="22">
        <v>0.15229999999999999</v>
      </c>
      <c r="AS154" s="22">
        <v>0.84951711018880205</v>
      </c>
      <c r="AT154" s="20">
        <v>111.2</v>
      </c>
      <c r="AU154" s="20">
        <v>5.7</v>
      </c>
    </row>
    <row r="155" spans="1:47" ht="16" customHeight="1" x14ac:dyDescent="0.2">
      <c r="A155" s="18" t="s">
        <v>267</v>
      </c>
      <c r="B155" s="19">
        <v>2825992.7</v>
      </c>
      <c r="C155" s="19">
        <v>1522689.8</v>
      </c>
      <c r="D155" s="19">
        <v>566867.9</v>
      </c>
      <c r="E155" s="19">
        <v>642961</v>
      </c>
      <c r="F155" s="19">
        <v>1025872.1</v>
      </c>
      <c r="G155" s="19">
        <v>967422.2</v>
      </c>
      <c r="H155" s="19">
        <v>1028909.9</v>
      </c>
      <c r="I155" s="20">
        <v>84.5</v>
      </c>
      <c r="J155" s="21">
        <v>85.274000000000001</v>
      </c>
      <c r="K155" s="21">
        <v>86.968999999999994</v>
      </c>
      <c r="L155" s="21">
        <v>84.171999999999997</v>
      </c>
      <c r="M155" s="21">
        <v>87.114000000000004</v>
      </c>
      <c r="N155" s="21">
        <v>92.462999999999994</v>
      </c>
      <c r="O155" s="21">
        <v>95.295000000000002</v>
      </c>
      <c r="P155" s="21">
        <v>89.57</v>
      </c>
      <c r="Q155" s="21">
        <v>174.87077059652401</v>
      </c>
      <c r="R155" s="21">
        <v>88.56</v>
      </c>
      <c r="S155" s="21">
        <v>131.774313333333</v>
      </c>
      <c r="T155" s="22">
        <v>103.38</v>
      </c>
      <c r="U155" s="19">
        <v>1108873.8999999999</v>
      </c>
      <c r="V155" s="19">
        <v>167794.25832760899</v>
      </c>
      <c r="W155" s="19">
        <v>155379.04</v>
      </c>
      <c r="X155" s="19">
        <v>131406.03</v>
      </c>
      <c r="Y155" s="21">
        <v>7.3990722038705696</v>
      </c>
      <c r="Z155" s="19">
        <v>63466723</v>
      </c>
      <c r="AA155" s="22">
        <v>0.39238385152233402</v>
      </c>
      <c r="AB155" s="22">
        <v>7.1365732469450203</v>
      </c>
      <c r="AC155" s="20">
        <v>18.187734330190199</v>
      </c>
      <c r="AD155" s="20">
        <v>44.5271563808328</v>
      </c>
      <c r="AE155" s="20">
        <v>0.86601230776691795</v>
      </c>
      <c r="AF155" s="20">
        <v>0.69032168990749698</v>
      </c>
      <c r="AG155" s="20">
        <v>4.7247683933153004</v>
      </c>
      <c r="AH155" s="20">
        <v>4.3445057112742296</v>
      </c>
      <c r="AI155" s="21">
        <f t="shared" si="2"/>
        <v>-0.38026268204107083</v>
      </c>
      <c r="AJ155" s="21">
        <v>3839555</v>
      </c>
      <c r="AK155" s="21">
        <v>7356073</v>
      </c>
      <c r="AL155" s="21">
        <v>8647959</v>
      </c>
      <c r="AM155" s="20">
        <v>1493.6576</v>
      </c>
      <c r="AN155" s="19">
        <v>10669350.3244706</v>
      </c>
      <c r="AO155" s="21">
        <v>16915.190999999999</v>
      </c>
      <c r="AP155" s="21">
        <v>210.49</v>
      </c>
      <c r="AQ155" s="21">
        <v>177.43299999999999</v>
      </c>
      <c r="AR155" s="22">
        <v>0.1676</v>
      </c>
      <c r="AS155" s="22">
        <v>0.83973347981770796</v>
      </c>
      <c r="AT155" s="20">
        <v>107.9</v>
      </c>
      <c r="AU155" s="20">
        <v>4.3</v>
      </c>
    </row>
    <row r="156" spans="1:47" ht="16" customHeight="1" x14ac:dyDescent="0.2">
      <c r="A156" s="18" t="s">
        <v>268</v>
      </c>
      <c r="B156" s="19">
        <v>2843780</v>
      </c>
      <c r="C156" s="19">
        <v>1525702</v>
      </c>
      <c r="D156" s="19">
        <v>570835.1</v>
      </c>
      <c r="E156" s="19">
        <v>641350.30000000005</v>
      </c>
      <c r="F156" s="19">
        <v>1041212.3</v>
      </c>
      <c r="G156" s="19">
        <v>967057.4</v>
      </c>
      <c r="H156" s="19">
        <v>1039116.8</v>
      </c>
      <c r="I156" s="20">
        <v>84.1</v>
      </c>
      <c r="J156" s="21">
        <v>85.688999999999993</v>
      </c>
      <c r="K156" s="21">
        <v>87.742000000000004</v>
      </c>
      <c r="L156" s="21">
        <v>84.215999999999994</v>
      </c>
      <c r="M156" s="21">
        <v>87.361999999999995</v>
      </c>
      <c r="N156" s="21">
        <v>93.539000000000001</v>
      </c>
      <c r="O156" s="21">
        <v>96.858000000000004</v>
      </c>
      <c r="P156" s="21">
        <v>90.156666666666695</v>
      </c>
      <c r="Q156" s="21">
        <v>193.72820760741499</v>
      </c>
      <c r="R156" s="21">
        <v>96.936666666666696</v>
      </c>
      <c r="S156" s="21">
        <v>147.079296</v>
      </c>
      <c r="T156" s="22">
        <v>104.21</v>
      </c>
      <c r="U156" s="19">
        <v>1127299.2</v>
      </c>
      <c r="V156" s="19">
        <v>168537.873935179</v>
      </c>
      <c r="W156" s="19">
        <v>156112.07</v>
      </c>
      <c r="X156" s="19">
        <v>132079.37</v>
      </c>
      <c r="Y156" s="21">
        <v>7.3727071815077601</v>
      </c>
      <c r="Z156" s="19">
        <v>63701655</v>
      </c>
      <c r="AA156" s="22">
        <v>0.39640872360027901</v>
      </c>
      <c r="AB156" s="22">
        <v>7.2210893110314904</v>
      </c>
      <c r="AC156" s="20">
        <v>18.2162724509386</v>
      </c>
      <c r="AD156" s="20">
        <v>44.642168245079297</v>
      </c>
      <c r="AE156" s="20">
        <v>0.850384005070556</v>
      </c>
      <c r="AF156" s="20">
        <v>0.66773504273504303</v>
      </c>
      <c r="AG156" s="20">
        <v>4.4800030378977702</v>
      </c>
      <c r="AH156" s="20">
        <v>4.1472094982746697</v>
      </c>
      <c r="AI156" s="21">
        <f t="shared" si="2"/>
        <v>-0.33279353962310054</v>
      </c>
      <c r="AJ156" s="21">
        <v>3859561</v>
      </c>
      <c r="AK156" s="21">
        <v>7536659</v>
      </c>
      <c r="AL156" s="21">
        <v>8867136</v>
      </c>
      <c r="AM156" s="20">
        <v>1350.837</v>
      </c>
      <c r="AN156" s="19">
        <v>10621185.7985148</v>
      </c>
      <c r="AO156" s="21">
        <v>16843.003000000001</v>
      </c>
      <c r="AP156" s="21">
        <v>212.77</v>
      </c>
      <c r="AQ156" s="21">
        <v>183.86699999999999</v>
      </c>
      <c r="AR156" s="22">
        <v>0.43159999999999998</v>
      </c>
      <c r="AS156" s="22">
        <v>0.75962766011556004</v>
      </c>
      <c r="AT156" s="20">
        <v>104.6</v>
      </c>
      <c r="AU156" s="20">
        <v>3.5</v>
      </c>
    </row>
    <row r="157" spans="1:47" ht="16" customHeight="1" x14ac:dyDescent="0.2">
      <c r="A157" s="18" t="s">
        <v>269</v>
      </c>
      <c r="B157" s="19">
        <v>2829820.9</v>
      </c>
      <c r="C157" s="19">
        <v>1519800.9</v>
      </c>
      <c r="D157" s="19">
        <v>576669.1</v>
      </c>
      <c r="E157" s="19">
        <v>631134.80000000005</v>
      </c>
      <c r="F157" s="19">
        <v>1031855.8</v>
      </c>
      <c r="G157" s="19">
        <v>961187.3</v>
      </c>
      <c r="H157" s="19">
        <v>1039401.4</v>
      </c>
      <c r="I157" s="20">
        <v>83.5</v>
      </c>
      <c r="J157" s="21">
        <v>86.298000000000002</v>
      </c>
      <c r="K157" s="21">
        <v>88.495999999999995</v>
      </c>
      <c r="L157" s="21">
        <v>85.195999999999998</v>
      </c>
      <c r="M157" s="21">
        <v>88.174000000000007</v>
      </c>
      <c r="N157" s="21">
        <v>94.403000000000006</v>
      </c>
      <c r="O157" s="21">
        <v>98.147999999999996</v>
      </c>
      <c r="P157" s="21">
        <v>91.653333333333293</v>
      </c>
      <c r="Q157" s="21">
        <v>227.14510902381701</v>
      </c>
      <c r="R157" s="21">
        <v>121.396666666667</v>
      </c>
      <c r="S157" s="21">
        <v>153.694443333333</v>
      </c>
      <c r="T157" s="22">
        <v>104.73</v>
      </c>
      <c r="U157" s="19">
        <v>1134345.6000000001</v>
      </c>
      <c r="V157" s="19">
        <v>168669.100569645</v>
      </c>
      <c r="W157" s="19">
        <v>156056.44</v>
      </c>
      <c r="X157" s="19">
        <v>132157.98000000001</v>
      </c>
      <c r="Y157" s="21">
        <v>7.4777540919160801</v>
      </c>
      <c r="Z157" s="19">
        <v>63547755</v>
      </c>
      <c r="AA157" s="22">
        <v>0.400854202469139</v>
      </c>
      <c r="AB157" s="22">
        <v>7.2688163333727198</v>
      </c>
      <c r="AC157" s="20">
        <v>18.133317022995001</v>
      </c>
      <c r="AD157" s="20">
        <v>44.530619531720703</v>
      </c>
      <c r="AE157" s="20">
        <v>0.82986036769453198</v>
      </c>
      <c r="AF157" s="20">
        <v>0.64012290359749102</v>
      </c>
      <c r="AG157" s="20">
        <v>4.86046825396825</v>
      </c>
      <c r="AH157" s="20">
        <v>4.5050896774891802</v>
      </c>
      <c r="AI157" s="21">
        <f t="shared" si="2"/>
        <v>-0.35537857647906979</v>
      </c>
      <c r="AJ157" s="21">
        <v>3857729</v>
      </c>
      <c r="AK157" s="21">
        <v>7700435</v>
      </c>
      <c r="AL157" s="21">
        <v>9044137</v>
      </c>
      <c r="AM157" s="20">
        <v>1371.2324000000001</v>
      </c>
      <c r="AN157" s="19">
        <v>10677365.9274721</v>
      </c>
      <c r="AO157" s="21">
        <v>16943.291000000001</v>
      </c>
      <c r="AP157" s="21">
        <v>215.53800000000001</v>
      </c>
      <c r="AQ157" s="21">
        <v>196</v>
      </c>
      <c r="AR157" s="22">
        <v>0.34689999999999999</v>
      </c>
      <c r="AS157" s="22">
        <v>0.68020662943522103</v>
      </c>
      <c r="AT157" s="20">
        <v>99.8</v>
      </c>
      <c r="AU157" s="20">
        <v>-0.6</v>
      </c>
    </row>
    <row r="158" spans="1:47" ht="16" customHeight="1" x14ac:dyDescent="0.2">
      <c r="A158" s="18" t="s">
        <v>270</v>
      </c>
      <c r="B158" s="19">
        <v>2814496.6</v>
      </c>
      <c r="C158" s="19">
        <v>1514073.5</v>
      </c>
      <c r="D158" s="19">
        <v>577100</v>
      </c>
      <c r="E158" s="19">
        <v>621096.19999999995</v>
      </c>
      <c r="F158" s="19">
        <v>1019906.2</v>
      </c>
      <c r="G158" s="19">
        <v>955893.8</v>
      </c>
      <c r="H158" s="19">
        <v>1025342.1</v>
      </c>
      <c r="I158" s="20">
        <v>82.5</v>
      </c>
      <c r="J158" s="21">
        <v>86.531999999999996</v>
      </c>
      <c r="K158" s="21">
        <v>88.950999999999993</v>
      </c>
      <c r="L158" s="21">
        <v>85.325999999999993</v>
      </c>
      <c r="M158" s="21">
        <v>88.685000000000002</v>
      </c>
      <c r="N158" s="21">
        <v>95.436000000000007</v>
      </c>
      <c r="O158" s="21">
        <v>99.730999999999995</v>
      </c>
      <c r="P158" s="21">
        <v>91.92</v>
      </c>
      <c r="Q158" s="21">
        <v>212.86587639809099</v>
      </c>
      <c r="R158" s="21">
        <v>114.396666666667</v>
      </c>
      <c r="S158" s="21">
        <v>141.158966666667</v>
      </c>
      <c r="T158" s="22">
        <v>104.54</v>
      </c>
      <c r="U158" s="19">
        <v>1143978.8999999999</v>
      </c>
      <c r="V158" s="19">
        <v>168703.70546242999</v>
      </c>
      <c r="W158" s="19">
        <v>155809.62</v>
      </c>
      <c r="X158" s="19">
        <v>131938.13</v>
      </c>
      <c r="Y158" s="21">
        <v>7.6430363085897</v>
      </c>
      <c r="Z158" s="19">
        <v>63267348</v>
      </c>
      <c r="AA158" s="22">
        <v>0.40645950682619397</v>
      </c>
      <c r="AB158" s="22">
        <v>7.3421583339976104</v>
      </c>
      <c r="AC158" s="20">
        <v>18.063689520582901</v>
      </c>
      <c r="AD158" s="20">
        <v>44.485768551575802</v>
      </c>
      <c r="AE158" s="20">
        <v>0.84760919113502498</v>
      </c>
      <c r="AF158" s="20">
        <v>0.66445182724252505</v>
      </c>
      <c r="AG158" s="20">
        <v>4.9817907647907598</v>
      </c>
      <c r="AH158" s="20">
        <v>4.6049502247004197</v>
      </c>
      <c r="AI158" s="21">
        <f t="shared" si="2"/>
        <v>-0.37684054009034007</v>
      </c>
      <c r="AJ158" s="21">
        <v>3884458</v>
      </c>
      <c r="AK158" s="21">
        <v>7865188</v>
      </c>
      <c r="AL158" s="21">
        <v>9224888</v>
      </c>
      <c r="AM158" s="20">
        <v>1253.0137</v>
      </c>
      <c r="AN158" s="19">
        <v>10615214.1792279</v>
      </c>
      <c r="AO158" s="21">
        <v>16854.294999999998</v>
      </c>
      <c r="AP158" s="21">
        <v>218.86099999999999</v>
      </c>
      <c r="AQ158" s="21">
        <v>200.46700000000001</v>
      </c>
      <c r="AR158" s="22">
        <v>0.3982</v>
      </c>
      <c r="AS158" s="22">
        <v>0.77381055196126303</v>
      </c>
      <c r="AT158" s="20">
        <v>91.6</v>
      </c>
      <c r="AU158" s="20">
        <v>-6.2</v>
      </c>
    </row>
    <row r="159" spans="1:47" ht="16" customHeight="1" x14ac:dyDescent="0.2">
      <c r="A159" s="18" t="s">
        <v>271</v>
      </c>
      <c r="B159" s="19">
        <v>2766482.3</v>
      </c>
      <c r="C159" s="19">
        <v>1504793.9</v>
      </c>
      <c r="D159" s="19">
        <v>581092.19999999995</v>
      </c>
      <c r="E159" s="19">
        <v>600773.80000000005</v>
      </c>
      <c r="F159" s="19">
        <v>961765.1</v>
      </c>
      <c r="G159" s="19">
        <v>909637.2</v>
      </c>
      <c r="H159" s="19">
        <v>999313.3</v>
      </c>
      <c r="I159" s="20">
        <v>81.099999999999994</v>
      </c>
      <c r="J159" s="21">
        <v>86.805999999999997</v>
      </c>
      <c r="K159" s="21">
        <v>88.465999999999994</v>
      </c>
      <c r="L159" s="21">
        <v>85.823999999999998</v>
      </c>
      <c r="M159" s="21">
        <v>88.647999999999996</v>
      </c>
      <c r="N159" s="21">
        <v>93.962000000000003</v>
      </c>
      <c r="O159" s="21">
        <v>96.340999999999994</v>
      </c>
      <c r="P159" s="21">
        <v>91.686666666666696</v>
      </c>
      <c r="Q159" s="21">
        <v>121.264589429935</v>
      </c>
      <c r="R159" s="21">
        <v>54.66</v>
      </c>
      <c r="S159" s="21">
        <v>94.856459999999998</v>
      </c>
      <c r="T159" s="22">
        <v>102.99</v>
      </c>
      <c r="U159" s="19">
        <v>1142271.8999999999</v>
      </c>
      <c r="V159" s="19">
        <v>168946.81023519099</v>
      </c>
      <c r="W159" s="19">
        <v>155207.76</v>
      </c>
      <c r="X159" s="19">
        <v>131397.54</v>
      </c>
      <c r="Y159" s="21">
        <v>8.1321749822115699</v>
      </c>
      <c r="Z159" s="19">
        <v>62978315</v>
      </c>
      <c r="AA159" s="22">
        <v>0.41289687629666</v>
      </c>
      <c r="AB159" s="22">
        <v>7.3596313741013999</v>
      </c>
      <c r="AC159" s="20">
        <v>17.824381332479799</v>
      </c>
      <c r="AD159" s="20">
        <v>43.927537597663601</v>
      </c>
      <c r="AE159" s="20">
        <v>0.86955639580468003</v>
      </c>
      <c r="AF159" s="20">
        <v>0.75872534142640402</v>
      </c>
      <c r="AG159" s="20">
        <v>4.2146686680469303</v>
      </c>
      <c r="AH159" s="20">
        <v>4.1667976920289904</v>
      </c>
      <c r="AI159" s="21">
        <f t="shared" si="2"/>
        <v>-4.7870976017939881E-2</v>
      </c>
      <c r="AJ159" s="21">
        <v>3992578</v>
      </c>
      <c r="AK159" s="21">
        <v>8041762</v>
      </c>
      <c r="AL159" s="21">
        <v>9402372</v>
      </c>
      <c r="AM159" s="20">
        <v>909.74180000000001</v>
      </c>
      <c r="AN159" s="19">
        <v>10384600.21759</v>
      </c>
      <c r="AO159" s="21">
        <v>16485.349999999999</v>
      </c>
      <c r="AP159" s="21">
        <v>213.84899999999999</v>
      </c>
      <c r="AQ159" s="21">
        <v>178.03299999999999</v>
      </c>
      <c r="AR159" s="22">
        <v>0.90159999999999996</v>
      </c>
      <c r="AS159" s="22">
        <v>0.63406918843587201</v>
      </c>
      <c r="AT159" s="20">
        <v>82.3</v>
      </c>
      <c r="AU159" s="20">
        <v>-17.2</v>
      </c>
    </row>
    <row r="160" spans="1:47" ht="16" customHeight="1" x14ac:dyDescent="0.2">
      <c r="A160" s="18" t="s">
        <v>272</v>
      </c>
      <c r="B160" s="19">
        <v>2681411.2000000002</v>
      </c>
      <c r="C160" s="19">
        <v>1498847.5</v>
      </c>
      <c r="D160" s="19">
        <v>586186.30000000005</v>
      </c>
      <c r="E160" s="19">
        <v>567737.69999999995</v>
      </c>
      <c r="F160" s="19">
        <v>878241.8</v>
      </c>
      <c r="G160" s="19">
        <v>842515.6</v>
      </c>
      <c r="H160" s="19">
        <v>951611.4</v>
      </c>
      <c r="I160" s="20">
        <v>74.099999999999994</v>
      </c>
      <c r="J160" s="21">
        <v>87.090999999999994</v>
      </c>
      <c r="K160" s="21">
        <v>87.724999999999994</v>
      </c>
      <c r="L160" s="21">
        <v>86.325999999999993</v>
      </c>
      <c r="M160" s="21">
        <v>88.256</v>
      </c>
      <c r="N160" s="21">
        <v>91.42</v>
      </c>
      <c r="O160" s="21">
        <v>91.882999999999996</v>
      </c>
      <c r="P160" s="21">
        <v>91.09</v>
      </c>
      <c r="Q160" s="21">
        <v>102.917172606786</v>
      </c>
      <c r="R160" s="21">
        <v>44.433333333333302</v>
      </c>
      <c r="S160" s="21">
        <v>89.887071000000006</v>
      </c>
      <c r="T160" s="22">
        <v>101.33</v>
      </c>
      <c r="U160" s="19">
        <v>1133014.6000000001</v>
      </c>
      <c r="V160" s="19">
        <v>169441.04510451001</v>
      </c>
      <c r="W160" s="19">
        <v>154021.91</v>
      </c>
      <c r="X160" s="19">
        <v>130431.44</v>
      </c>
      <c r="Y160" s="21">
        <v>9.1</v>
      </c>
      <c r="Z160" s="19">
        <v>61815245</v>
      </c>
      <c r="AA160" s="22">
        <v>0.42254414391944101</v>
      </c>
      <c r="AB160" s="22">
        <v>7.3561910769708003</v>
      </c>
      <c r="AC160" s="20">
        <v>17.409284172621899</v>
      </c>
      <c r="AD160" s="20">
        <v>43.377830177652797</v>
      </c>
      <c r="AE160" s="20">
        <v>0.840378977303605</v>
      </c>
      <c r="AF160" s="20">
        <v>0.76751861232634899</v>
      </c>
      <c r="AG160" s="20">
        <v>2.01167611832612</v>
      </c>
      <c r="AH160" s="20">
        <v>4.1461181917109204</v>
      </c>
      <c r="AI160" s="21">
        <f t="shared" si="2"/>
        <v>2.1344420733848004</v>
      </c>
      <c r="AJ160" s="21">
        <v>4147215</v>
      </c>
      <c r="AK160" s="21">
        <v>8093515</v>
      </c>
      <c r="AL160" s="21">
        <v>9403303</v>
      </c>
      <c r="AM160" s="20">
        <v>810.0068</v>
      </c>
      <c r="AN160" s="19">
        <v>10251318.901228201</v>
      </c>
      <c r="AO160" s="21">
        <v>16298.262000000001</v>
      </c>
      <c r="AP160" s="21">
        <v>212.37799999999999</v>
      </c>
      <c r="AQ160" s="21">
        <v>169.53299999999999</v>
      </c>
      <c r="AR160" s="22">
        <v>0.85640000000000005</v>
      </c>
      <c r="AS160" s="22">
        <v>0.60378800710042302</v>
      </c>
      <c r="AT160" s="20">
        <v>70.599999999999994</v>
      </c>
      <c r="AU160" s="20">
        <v>-32.200000000000003</v>
      </c>
    </row>
    <row r="161" spans="1:47" ht="16" customHeight="1" x14ac:dyDescent="0.2">
      <c r="A161" s="18" t="s">
        <v>273</v>
      </c>
      <c r="B161" s="19">
        <v>2681404.9</v>
      </c>
      <c r="C161" s="19">
        <v>1499997.3</v>
      </c>
      <c r="D161" s="19">
        <v>589371.69999999995</v>
      </c>
      <c r="E161" s="19">
        <v>553910</v>
      </c>
      <c r="F161" s="19">
        <v>872772.6</v>
      </c>
      <c r="G161" s="19">
        <v>822586.7</v>
      </c>
      <c r="H161" s="19">
        <v>960651.7</v>
      </c>
      <c r="I161" s="20">
        <v>69.7</v>
      </c>
      <c r="J161" s="21">
        <v>87.108999999999995</v>
      </c>
      <c r="K161" s="21">
        <v>87.710999999999999</v>
      </c>
      <c r="L161" s="21">
        <v>86.664000000000001</v>
      </c>
      <c r="M161" s="21">
        <v>87.87</v>
      </c>
      <c r="N161" s="21">
        <v>90.742000000000004</v>
      </c>
      <c r="O161" s="21">
        <v>90.950999999999993</v>
      </c>
      <c r="P161" s="21">
        <v>91.853333333333296</v>
      </c>
      <c r="Q161" s="21">
        <v>125.52135005662799</v>
      </c>
      <c r="R161" s="21">
        <v>58.696666666666701</v>
      </c>
      <c r="S161" s="21">
        <v>96.273728000000006</v>
      </c>
      <c r="T161" s="22">
        <v>100.07</v>
      </c>
      <c r="U161" s="19">
        <v>1129775.7</v>
      </c>
      <c r="V161" s="19">
        <v>169221.68141592899</v>
      </c>
      <c r="W161" s="19">
        <v>152976.4</v>
      </c>
      <c r="X161" s="19">
        <v>129463.39</v>
      </c>
      <c r="Y161" s="21">
        <v>9.6</v>
      </c>
      <c r="Z161" s="19">
        <v>61273310</v>
      </c>
      <c r="AA161" s="22">
        <v>0.42133722512403898</v>
      </c>
      <c r="AB161" s="22">
        <v>7.3852940715038402</v>
      </c>
      <c r="AC161" s="20">
        <v>17.5282259224299</v>
      </c>
      <c r="AD161" s="20">
        <v>43.7613848509245</v>
      </c>
      <c r="AE161" s="20">
        <v>0.83401073538618598</v>
      </c>
      <c r="AF161" s="20">
        <v>0.73356807511737099</v>
      </c>
      <c r="AG161" s="20">
        <v>1.31063636363636</v>
      </c>
      <c r="AH161" s="20">
        <v>4.1824777040521504</v>
      </c>
      <c r="AI161" s="21">
        <f t="shared" si="2"/>
        <v>2.8718413404157905</v>
      </c>
      <c r="AJ161" s="21">
        <v>4258226</v>
      </c>
      <c r="AK161" s="21">
        <v>8155197</v>
      </c>
      <c r="AL161" s="21">
        <v>9428787</v>
      </c>
      <c r="AM161" s="20">
        <v>892.10799999999995</v>
      </c>
      <c r="AN161" s="19">
        <v>10241527.5766718</v>
      </c>
      <c r="AO161" s="21">
        <v>16269.145</v>
      </c>
      <c r="AP161" s="21">
        <v>213.50700000000001</v>
      </c>
      <c r="AQ161" s="21">
        <v>171.333</v>
      </c>
      <c r="AR161" s="22">
        <v>0.63039999999999996</v>
      </c>
      <c r="AS161" s="22">
        <v>0.72757288614908899</v>
      </c>
      <c r="AT161" s="20">
        <v>69.599999999999994</v>
      </c>
      <c r="AU161" s="20">
        <v>-33.5</v>
      </c>
    </row>
    <row r="162" spans="1:47" ht="16" customHeight="1" x14ac:dyDescent="0.2">
      <c r="A162" s="18" t="s">
        <v>274</v>
      </c>
      <c r="B162" s="19">
        <v>2691119.7</v>
      </c>
      <c r="C162" s="19">
        <v>1502210.3</v>
      </c>
      <c r="D162" s="19">
        <v>594398.1</v>
      </c>
      <c r="E162" s="19">
        <v>547717.80000000005</v>
      </c>
      <c r="F162" s="19">
        <v>894997.7</v>
      </c>
      <c r="G162" s="19">
        <v>841299.9</v>
      </c>
      <c r="H162" s="19">
        <v>965922.2</v>
      </c>
      <c r="I162" s="20">
        <v>70.099999999999994</v>
      </c>
      <c r="J162" s="21">
        <v>87.197999999999993</v>
      </c>
      <c r="K162" s="21">
        <v>87.775000000000006</v>
      </c>
      <c r="L162" s="21">
        <v>87.072999999999993</v>
      </c>
      <c r="M162" s="21">
        <v>88.081999999999994</v>
      </c>
      <c r="N162" s="21">
        <v>90.608000000000004</v>
      </c>
      <c r="O162" s="21">
        <v>91.228999999999999</v>
      </c>
      <c r="P162" s="21">
        <v>91.596666666666593</v>
      </c>
      <c r="Q162" s="21">
        <v>139.76842013278599</v>
      </c>
      <c r="R162" s="21">
        <v>68.2</v>
      </c>
      <c r="S162" s="21">
        <v>104.745636666667</v>
      </c>
      <c r="T162" s="22">
        <v>100.05</v>
      </c>
      <c r="U162" s="19">
        <v>1133111.2</v>
      </c>
      <c r="V162" s="19">
        <v>169097.88013318501</v>
      </c>
      <c r="W162" s="19">
        <v>152357.19</v>
      </c>
      <c r="X162" s="19">
        <v>128933.07</v>
      </c>
      <c r="Y162" s="21">
        <v>9.9</v>
      </c>
      <c r="Z162" s="19">
        <v>61006729</v>
      </c>
      <c r="AA162" s="22">
        <v>0.42105566690326002</v>
      </c>
      <c r="AB162" s="22">
        <v>7.4372020119299904</v>
      </c>
      <c r="AC162" s="20">
        <v>17.663227445977402</v>
      </c>
      <c r="AD162" s="20">
        <v>44.1118503501474</v>
      </c>
      <c r="AE162" s="20">
        <v>0.82447707541491799</v>
      </c>
      <c r="AF162" s="20">
        <v>0.699154023631406</v>
      </c>
      <c r="AG162" s="20">
        <v>0.86917454043540998</v>
      </c>
      <c r="AH162" s="20">
        <v>3.9490500667977</v>
      </c>
      <c r="AI162" s="21">
        <f t="shared" si="2"/>
        <v>3.0798755263622901</v>
      </c>
      <c r="AJ162" s="21">
        <v>4400713</v>
      </c>
      <c r="AK162" s="21">
        <v>8189516</v>
      </c>
      <c r="AL162" s="21">
        <v>9414236</v>
      </c>
      <c r="AM162" s="20">
        <v>996.12850000000003</v>
      </c>
      <c r="AN162" s="19">
        <v>10271920.402451901</v>
      </c>
      <c r="AO162" s="21">
        <v>16326.281000000001</v>
      </c>
      <c r="AP162" s="21">
        <v>215.34399999999999</v>
      </c>
      <c r="AQ162" s="21">
        <v>173.86699999999999</v>
      </c>
      <c r="AR162" s="22">
        <v>0.3906</v>
      </c>
      <c r="AS162" s="22">
        <v>0.67992818196614602</v>
      </c>
      <c r="AT162" s="20">
        <v>79.2</v>
      </c>
      <c r="AU162" s="20">
        <v>-25.9</v>
      </c>
    </row>
    <row r="163" spans="1:47" ht="16" customHeight="1" x14ac:dyDescent="0.2">
      <c r="A163" s="18" t="s">
        <v>275</v>
      </c>
      <c r="B163" s="19">
        <v>2702744.5</v>
      </c>
      <c r="C163" s="19">
        <v>1505888.5</v>
      </c>
      <c r="D163" s="19">
        <v>592538.4</v>
      </c>
      <c r="E163" s="19">
        <v>546115.4</v>
      </c>
      <c r="F163" s="19">
        <v>914025.8</v>
      </c>
      <c r="G163" s="19">
        <v>853599.5</v>
      </c>
      <c r="H163" s="19">
        <v>972651.6</v>
      </c>
      <c r="I163" s="20">
        <v>72.2</v>
      </c>
      <c r="J163" s="21">
        <v>87.426000000000002</v>
      </c>
      <c r="K163" s="21">
        <v>88.097999999999999</v>
      </c>
      <c r="L163" s="21">
        <v>87.186000000000007</v>
      </c>
      <c r="M163" s="21">
        <v>88.272999999999996</v>
      </c>
      <c r="N163" s="21">
        <v>91.027000000000001</v>
      </c>
      <c r="O163" s="21">
        <v>92.013999999999996</v>
      </c>
      <c r="P163" s="21">
        <v>92.08</v>
      </c>
      <c r="Q163" s="21">
        <v>152.20850796520099</v>
      </c>
      <c r="R163" s="21">
        <v>74.63</v>
      </c>
      <c r="S163" s="21">
        <v>114.36975466666701</v>
      </c>
      <c r="T163" s="22">
        <v>100.08</v>
      </c>
      <c r="U163" s="19">
        <v>1138057.3</v>
      </c>
      <c r="V163" s="19">
        <v>169169.55506117901</v>
      </c>
      <c r="W163" s="19">
        <v>152083.43</v>
      </c>
      <c r="X163" s="19">
        <v>128700.02</v>
      </c>
      <c r="Y163" s="21">
        <v>10.1</v>
      </c>
      <c r="Z163" s="19">
        <v>60854759</v>
      </c>
      <c r="AA163" s="22">
        <v>0.42107468907993301</v>
      </c>
      <c r="AB163" s="22">
        <v>7.4831117367618596</v>
      </c>
      <c r="AC163" s="20">
        <v>17.7714593890998</v>
      </c>
      <c r="AD163" s="20">
        <v>44.413034319961703</v>
      </c>
      <c r="AE163" s="20">
        <v>0.81422903231322197</v>
      </c>
      <c r="AF163" s="20">
        <v>0.67663576696664196</v>
      </c>
      <c r="AG163" s="20">
        <v>0.72191197691197695</v>
      </c>
      <c r="AH163" s="20">
        <v>3.8368195978419699</v>
      </c>
      <c r="AI163" s="21">
        <f t="shared" si="2"/>
        <v>3.1149076209299928</v>
      </c>
      <c r="AJ163" s="21">
        <v>4499550</v>
      </c>
      <c r="AK163" s="21">
        <v>8207839</v>
      </c>
      <c r="AL163" s="21">
        <v>9349315</v>
      </c>
      <c r="AM163" s="20">
        <v>1088.7035000000001</v>
      </c>
      <c r="AN163" s="19">
        <v>10388261.863058601</v>
      </c>
      <c r="AO163" s="21">
        <v>16502.754000000001</v>
      </c>
      <c r="AP163" s="21">
        <v>217.03</v>
      </c>
      <c r="AQ163" s="21">
        <v>176.9</v>
      </c>
      <c r="AR163" s="22">
        <v>0.33460000000000001</v>
      </c>
      <c r="AS163" s="22">
        <v>0.77197657267252595</v>
      </c>
      <c r="AT163" s="20">
        <v>89.2</v>
      </c>
      <c r="AU163" s="20">
        <v>-17.100000000000001</v>
      </c>
    </row>
    <row r="164" spans="1:47" ht="16" customHeight="1" x14ac:dyDescent="0.2">
      <c r="A164" s="18" t="s">
        <v>276</v>
      </c>
      <c r="B164" s="19">
        <v>2713591.9</v>
      </c>
      <c r="C164" s="19">
        <v>1506510.7</v>
      </c>
      <c r="D164" s="19">
        <v>594430.5</v>
      </c>
      <c r="E164" s="19">
        <v>542919.4</v>
      </c>
      <c r="F164" s="19">
        <v>936867.9</v>
      </c>
      <c r="G164" s="19">
        <v>878005.3</v>
      </c>
      <c r="H164" s="19">
        <v>980620.1</v>
      </c>
      <c r="I164" s="20">
        <v>73</v>
      </c>
      <c r="J164" s="21">
        <v>87.524000000000001</v>
      </c>
      <c r="K164" s="21">
        <v>88.564999999999998</v>
      </c>
      <c r="L164" s="21">
        <v>87.370999999999995</v>
      </c>
      <c r="M164" s="21">
        <v>88.590999999999994</v>
      </c>
      <c r="N164" s="21">
        <v>92.17</v>
      </c>
      <c r="O164" s="21">
        <v>93.88</v>
      </c>
      <c r="P164" s="21">
        <v>92.093333333333305</v>
      </c>
      <c r="Q164" s="21">
        <v>157.44691378360301</v>
      </c>
      <c r="R164" s="21">
        <v>76.25</v>
      </c>
      <c r="S164" s="21">
        <v>123.262486666667</v>
      </c>
      <c r="T164" s="22">
        <v>99.75</v>
      </c>
      <c r="U164" s="19">
        <v>1141249.5</v>
      </c>
      <c r="V164" s="19">
        <v>169481.39353400201</v>
      </c>
      <c r="W164" s="19">
        <v>152024.81</v>
      </c>
      <c r="X164" s="19">
        <v>128598.53</v>
      </c>
      <c r="Y164" s="21">
        <v>10.3</v>
      </c>
      <c r="Z164" s="19">
        <v>60816463</v>
      </c>
      <c r="AA164" s="22">
        <v>0.42056784588721702</v>
      </c>
      <c r="AB164" s="22">
        <v>7.5069950753432897</v>
      </c>
      <c r="AC164" s="20">
        <v>17.8496648014229</v>
      </c>
      <c r="AD164" s="20">
        <v>44.619364003460703</v>
      </c>
      <c r="AE164" s="20">
        <v>0.85555250725365894</v>
      </c>
      <c r="AF164" s="20">
        <v>0.72311808518331</v>
      </c>
      <c r="AG164" s="20">
        <v>0.66213550724637704</v>
      </c>
      <c r="AH164" s="20">
        <v>4.0647765994981997</v>
      </c>
      <c r="AI164" s="21">
        <f t="shared" si="2"/>
        <v>3.4026410922518227</v>
      </c>
      <c r="AJ164" s="21">
        <v>4580958</v>
      </c>
      <c r="AK164" s="21">
        <v>8230444</v>
      </c>
      <c r="AL164" s="21">
        <v>9332304</v>
      </c>
      <c r="AM164" s="20">
        <v>1121.5968</v>
      </c>
      <c r="AN164" s="19">
        <v>10438492.6837161</v>
      </c>
      <c r="AO164" s="21">
        <v>16582.71</v>
      </c>
      <c r="AP164" s="21">
        <v>217.374</v>
      </c>
      <c r="AQ164" s="21">
        <v>182.06700000000001</v>
      </c>
      <c r="AR164" s="22">
        <v>0.20380000000000001</v>
      </c>
      <c r="AS164" s="22">
        <v>0.69431280771891302</v>
      </c>
      <c r="AT164" s="20">
        <v>93.2</v>
      </c>
      <c r="AU164" s="20">
        <v>-13.3</v>
      </c>
    </row>
    <row r="165" spans="1:47" ht="16" customHeight="1" x14ac:dyDescent="0.2">
      <c r="A165" s="18" t="s">
        <v>277</v>
      </c>
      <c r="B165" s="19">
        <v>2738848.5</v>
      </c>
      <c r="C165" s="19">
        <v>1511203.2</v>
      </c>
      <c r="D165" s="19">
        <v>593002</v>
      </c>
      <c r="E165" s="19">
        <v>554894.1</v>
      </c>
      <c r="F165" s="19">
        <v>982093.8</v>
      </c>
      <c r="G165" s="19">
        <v>919856.9</v>
      </c>
      <c r="H165" s="19">
        <v>991132</v>
      </c>
      <c r="I165" s="20">
        <v>76.099999999999994</v>
      </c>
      <c r="J165" s="21">
        <v>87.677000000000007</v>
      </c>
      <c r="K165" s="21">
        <v>89.037999999999997</v>
      </c>
      <c r="L165" s="21">
        <v>87.691000000000003</v>
      </c>
      <c r="M165" s="21">
        <v>88.980999999999995</v>
      </c>
      <c r="N165" s="21">
        <v>93.739000000000004</v>
      </c>
      <c r="O165" s="21">
        <v>96.393000000000001</v>
      </c>
      <c r="P165" s="21">
        <v>93.313333333333304</v>
      </c>
      <c r="Q165" s="21">
        <v>164.83313692672601</v>
      </c>
      <c r="R165" s="21">
        <v>78.510000000000005</v>
      </c>
      <c r="S165" s="21">
        <v>128.460936</v>
      </c>
      <c r="T165" s="22">
        <v>100.69</v>
      </c>
      <c r="U165" s="19">
        <v>1149104.6000000001</v>
      </c>
      <c r="V165" s="19">
        <v>169301.649944259</v>
      </c>
      <c r="W165" s="19">
        <v>151863.57999999999</v>
      </c>
      <c r="X165" s="19">
        <v>128489.81</v>
      </c>
      <c r="Y165" s="21">
        <v>10.3</v>
      </c>
      <c r="Z165" s="19">
        <v>60939127</v>
      </c>
      <c r="AA165" s="22">
        <v>0.41955756223829099</v>
      </c>
      <c r="AB165" s="22">
        <v>7.5666897882955197</v>
      </c>
      <c r="AC165" s="20">
        <v>18.034926478092999</v>
      </c>
      <c r="AD165" s="20">
        <v>44.944006171929601</v>
      </c>
      <c r="AE165" s="20">
        <v>0.90812059599349304</v>
      </c>
      <c r="AF165" s="20">
        <v>0.78690588605602796</v>
      </c>
      <c r="AG165" s="20">
        <v>0.68627157287157303</v>
      </c>
      <c r="AH165" s="20">
        <v>3.8470206689136202</v>
      </c>
      <c r="AI165" s="21">
        <f t="shared" si="2"/>
        <v>3.1607490960420472</v>
      </c>
      <c r="AJ165" s="21">
        <v>4674690</v>
      </c>
      <c r="AK165" s="21">
        <v>8314433</v>
      </c>
      <c r="AL165" s="21">
        <v>9240895</v>
      </c>
      <c r="AM165" s="20">
        <v>1135.2469000000001</v>
      </c>
      <c r="AN165" s="19">
        <v>10541627.3715561</v>
      </c>
      <c r="AO165" s="21">
        <v>16743.162</v>
      </c>
      <c r="AP165" s="21">
        <v>217.297</v>
      </c>
      <c r="AQ165" s="21">
        <v>184.233</v>
      </c>
      <c r="AR165" s="22">
        <v>0.39300000000000002</v>
      </c>
      <c r="AS165" s="22">
        <v>0.84675791422526003</v>
      </c>
      <c r="AT165" s="20">
        <v>98.4</v>
      </c>
      <c r="AU165" s="20">
        <v>-6.9</v>
      </c>
    </row>
    <row r="166" spans="1:47" ht="16" customHeight="1" x14ac:dyDescent="0.2">
      <c r="A166" s="18" t="s">
        <v>278</v>
      </c>
      <c r="B166" s="19">
        <v>2750987.6</v>
      </c>
      <c r="C166" s="19">
        <v>1516071.8</v>
      </c>
      <c r="D166" s="19">
        <v>594801.69999999995</v>
      </c>
      <c r="E166" s="19">
        <v>552879.4</v>
      </c>
      <c r="F166" s="19">
        <v>1000910.4</v>
      </c>
      <c r="G166" s="19">
        <v>929245.9</v>
      </c>
      <c r="H166" s="19">
        <v>1002310.6</v>
      </c>
      <c r="I166" s="20">
        <v>78.099999999999994</v>
      </c>
      <c r="J166" s="21">
        <v>87.992999999999995</v>
      </c>
      <c r="K166" s="21">
        <v>89.38</v>
      </c>
      <c r="L166" s="21">
        <v>87.766000000000005</v>
      </c>
      <c r="M166" s="21">
        <v>89.048000000000002</v>
      </c>
      <c r="N166" s="21">
        <v>94.278000000000006</v>
      </c>
      <c r="O166" s="21">
        <v>97.212999999999994</v>
      </c>
      <c r="P166" s="21">
        <v>93.17</v>
      </c>
      <c r="Q166" s="21">
        <v>165.790628534295</v>
      </c>
      <c r="R166" s="21">
        <v>76.819999999999993</v>
      </c>
      <c r="S166" s="21">
        <v>131.22154333333299</v>
      </c>
      <c r="T166" s="22">
        <v>101.33</v>
      </c>
      <c r="U166" s="19">
        <v>1154138.2</v>
      </c>
      <c r="V166" s="19">
        <v>169171.881959911</v>
      </c>
      <c r="W166" s="19">
        <v>151916.35</v>
      </c>
      <c r="X166" s="19">
        <v>128590.99</v>
      </c>
      <c r="Y166" s="21">
        <v>10.199999999999999</v>
      </c>
      <c r="Z166" s="19">
        <v>60924006</v>
      </c>
      <c r="AA166" s="22">
        <v>0.419535951379788</v>
      </c>
      <c r="AB166" s="22">
        <v>7.5971954302482896</v>
      </c>
      <c r="AC166" s="20">
        <v>18.108568300910299</v>
      </c>
      <c r="AD166" s="20">
        <v>45.154410890183399</v>
      </c>
      <c r="AE166" s="20">
        <v>0.91146679921419405</v>
      </c>
      <c r="AF166" s="20">
        <v>0.77459333849728895</v>
      </c>
      <c r="AG166" s="20">
        <v>0.87493939393939402</v>
      </c>
      <c r="AH166" s="20">
        <v>3.5134612003627201</v>
      </c>
      <c r="AI166" s="21">
        <f t="shared" si="2"/>
        <v>2.6385218064233262</v>
      </c>
      <c r="AJ166" s="21">
        <v>4676240</v>
      </c>
      <c r="AK166" s="21">
        <v>8367910</v>
      </c>
      <c r="AL166" s="21">
        <v>9272702</v>
      </c>
      <c r="AM166" s="20">
        <v>1096.3892000000001</v>
      </c>
      <c r="AN166" s="19">
        <v>10630986.231166</v>
      </c>
      <c r="AO166" s="21">
        <v>16872.266</v>
      </c>
      <c r="AP166" s="21">
        <v>217.934</v>
      </c>
      <c r="AQ166" s="21">
        <v>184.63300000000001</v>
      </c>
      <c r="AR166" s="22">
        <v>0.3997</v>
      </c>
      <c r="AS166" s="22">
        <v>0.67979427337646503</v>
      </c>
      <c r="AT166" s="20">
        <v>99</v>
      </c>
      <c r="AU166" s="20">
        <v>-2.7</v>
      </c>
    </row>
    <row r="167" spans="1:47" ht="16" customHeight="1" x14ac:dyDescent="0.2">
      <c r="A167" s="18" t="s">
        <v>279</v>
      </c>
      <c r="B167" s="19">
        <v>2767223.5</v>
      </c>
      <c r="C167" s="19">
        <v>1522624.5</v>
      </c>
      <c r="D167" s="19">
        <v>593005.4</v>
      </c>
      <c r="E167" s="19">
        <v>552762.4</v>
      </c>
      <c r="F167" s="19">
        <v>1019511.5</v>
      </c>
      <c r="G167" s="19">
        <v>945941.8</v>
      </c>
      <c r="H167" s="19">
        <v>1010795.1</v>
      </c>
      <c r="I167" s="20">
        <v>79.2</v>
      </c>
      <c r="J167" s="21">
        <v>88.144000000000005</v>
      </c>
      <c r="K167" s="21">
        <v>89.837000000000003</v>
      </c>
      <c r="L167" s="21">
        <v>87.986000000000004</v>
      </c>
      <c r="M167" s="21">
        <v>89.474999999999994</v>
      </c>
      <c r="N167" s="21">
        <v>94.938000000000002</v>
      </c>
      <c r="O167" s="21">
        <v>98.17</v>
      </c>
      <c r="P167" s="21">
        <v>93.946666666666701</v>
      </c>
      <c r="Q167" s="21">
        <v>185.405750647844</v>
      </c>
      <c r="R167" s="21">
        <v>86.466666666666697</v>
      </c>
      <c r="S167" s="21">
        <v>146.886562</v>
      </c>
      <c r="T167" s="22">
        <v>101.58</v>
      </c>
      <c r="U167" s="19">
        <v>1161102.5</v>
      </c>
      <c r="V167" s="19">
        <v>169474.78841870799</v>
      </c>
      <c r="W167" s="19">
        <v>152188.35999999999</v>
      </c>
      <c r="X167" s="19">
        <v>128827.68</v>
      </c>
      <c r="Y167" s="21">
        <v>10.199999999999999</v>
      </c>
      <c r="Z167" s="19">
        <v>60958781</v>
      </c>
      <c r="AA167" s="22">
        <v>0.41959115337087899</v>
      </c>
      <c r="AB167" s="22">
        <v>7.6293778315240397</v>
      </c>
      <c r="AC167" s="20">
        <v>18.182885340245502</v>
      </c>
      <c r="AD167" s="20">
        <v>45.394994037036298</v>
      </c>
      <c r="AE167" s="20">
        <v>0.89168123822423495</v>
      </c>
      <c r="AF167" s="20">
        <v>0.73621438562909503</v>
      </c>
      <c r="AG167" s="20">
        <v>1.02046925779534</v>
      </c>
      <c r="AH167" s="20">
        <v>3.7003594748826099</v>
      </c>
      <c r="AI167" s="21">
        <f t="shared" si="2"/>
        <v>2.6798902170872698</v>
      </c>
      <c r="AJ167" s="21">
        <v>4710694</v>
      </c>
      <c r="AK167" s="21">
        <v>8423299</v>
      </c>
      <c r="AL167" s="21">
        <v>9298808</v>
      </c>
      <c r="AM167" s="20">
        <v>1203.9992999999999</v>
      </c>
      <c r="AN167" s="19">
        <v>10678742.856842799</v>
      </c>
      <c r="AO167" s="21">
        <v>16960.864000000001</v>
      </c>
      <c r="AP167" s="21">
        <v>219.69900000000001</v>
      </c>
      <c r="AQ167" s="21">
        <v>188</v>
      </c>
      <c r="AR167" s="22">
        <v>0.30859999999999999</v>
      </c>
      <c r="AS167" s="22">
        <v>0.73269163767496803</v>
      </c>
      <c r="AT167" s="20">
        <v>102.1</v>
      </c>
      <c r="AU167" s="20">
        <v>0.5</v>
      </c>
    </row>
    <row r="168" spans="1:47" ht="16" customHeight="1" x14ac:dyDescent="0.2">
      <c r="A168" s="18" t="s">
        <v>280</v>
      </c>
      <c r="B168" s="19">
        <v>2793319.3</v>
      </c>
      <c r="C168" s="19">
        <v>1519548.9</v>
      </c>
      <c r="D168" s="19">
        <v>593727.9</v>
      </c>
      <c r="E168" s="19">
        <v>561977.69999999995</v>
      </c>
      <c r="F168" s="19">
        <v>1040523.3</v>
      </c>
      <c r="G168" s="19">
        <v>961348.7</v>
      </c>
      <c r="H168" s="19">
        <v>1027005.1</v>
      </c>
      <c r="I168" s="20">
        <v>79.900000000000006</v>
      </c>
      <c r="J168" s="21">
        <v>88.486000000000004</v>
      </c>
      <c r="K168" s="21">
        <v>90.566999999999993</v>
      </c>
      <c r="L168" s="21">
        <v>88.061999999999998</v>
      </c>
      <c r="M168" s="21">
        <v>89.921000000000006</v>
      </c>
      <c r="N168" s="21">
        <v>96.506</v>
      </c>
      <c r="O168" s="21">
        <v>101.083</v>
      </c>
      <c r="P168" s="21">
        <v>94.373333333333306</v>
      </c>
      <c r="Q168" s="21">
        <v>218.37709836521</v>
      </c>
      <c r="R168" s="21">
        <v>104.96</v>
      </c>
      <c r="S168" s="21">
        <v>164.5248</v>
      </c>
      <c r="T168" s="22">
        <v>101.32</v>
      </c>
      <c r="U168" s="19">
        <v>1170912.7</v>
      </c>
      <c r="V168" s="19">
        <v>169364.60511679601</v>
      </c>
      <c r="W168" s="19">
        <v>152258.78</v>
      </c>
      <c r="X168" s="19">
        <v>128839.48</v>
      </c>
      <c r="Y168" s="21">
        <v>10.1</v>
      </c>
      <c r="Z168" s="19">
        <v>61306373</v>
      </c>
      <c r="AA168" s="22">
        <v>0.41918326343859103</v>
      </c>
      <c r="AB168" s="22">
        <v>7.6902803240640702</v>
      </c>
      <c r="AC168" s="20">
        <v>18.345866819634299</v>
      </c>
      <c r="AD168" s="20">
        <v>45.563277736231399</v>
      </c>
      <c r="AE168" s="20">
        <v>0.89629239687110296</v>
      </c>
      <c r="AF168" s="20">
        <v>0.73099415204678397</v>
      </c>
      <c r="AG168" s="20">
        <v>1.09316994478951</v>
      </c>
      <c r="AH168" s="20">
        <v>4.2984507162885297</v>
      </c>
      <c r="AI168" s="21">
        <f t="shared" si="2"/>
        <v>3.2052807714990195</v>
      </c>
      <c r="AJ168" s="21">
        <v>4727336</v>
      </c>
      <c r="AK168" s="21">
        <v>8458122</v>
      </c>
      <c r="AL168" s="21">
        <v>9345311</v>
      </c>
      <c r="AM168" s="20">
        <v>1302.7408</v>
      </c>
      <c r="AN168" s="19">
        <v>10643935.5054127</v>
      </c>
      <c r="AO168" s="21">
        <v>16920.632000000001</v>
      </c>
      <c r="AP168" s="21">
        <v>222.04400000000001</v>
      </c>
      <c r="AQ168" s="21">
        <v>195.9</v>
      </c>
      <c r="AR168" s="22">
        <v>0.20430000000000001</v>
      </c>
      <c r="AS168" s="22">
        <v>0.79749567667643295</v>
      </c>
      <c r="AT168" s="20">
        <v>103.2</v>
      </c>
      <c r="AU168" s="20">
        <v>3.2</v>
      </c>
    </row>
    <row r="169" spans="1:47" ht="16" customHeight="1" x14ac:dyDescent="0.2">
      <c r="A169" s="18" t="s">
        <v>281</v>
      </c>
      <c r="B169" s="19">
        <v>2793443.9</v>
      </c>
      <c r="C169" s="19">
        <v>1515890.7</v>
      </c>
      <c r="D169" s="19">
        <v>594364.1</v>
      </c>
      <c r="E169" s="19">
        <v>560730.69999999995</v>
      </c>
      <c r="F169" s="19">
        <v>1048619.6000000001</v>
      </c>
      <c r="G169" s="19">
        <v>960759.1</v>
      </c>
      <c r="H169" s="19">
        <v>1025697.6</v>
      </c>
      <c r="I169" s="20">
        <v>81.2</v>
      </c>
      <c r="J169" s="21">
        <v>88.665000000000006</v>
      </c>
      <c r="K169" s="21">
        <v>91.18</v>
      </c>
      <c r="L169" s="21">
        <v>88.394999999999996</v>
      </c>
      <c r="M169" s="21">
        <v>90.236999999999995</v>
      </c>
      <c r="N169" s="21">
        <v>97.063999999999993</v>
      </c>
      <c r="O169" s="21">
        <v>102.014</v>
      </c>
      <c r="P169" s="21">
        <v>95.883333333333297</v>
      </c>
      <c r="Q169" s="21">
        <v>236.09684233907799</v>
      </c>
      <c r="R169" s="21">
        <v>117.36</v>
      </c>
      <c r="S169" s="21">
        <v>163.67364000000001</v>
      </c>
      <c r="T169" s="22">
        <v>101.74</v>
      </c>
      <c r="U169" s="19">
        <v>1178016.1000000001</v>
      </c>
      <c r="V169" s="19">
        <v>169484.794215795</v>
      </c>
      <c r="W169" s="19">
        <v>152366.82999999999</v>
      </c>
      <c r="X169" s="19">
        <v>128963.98</v>
      </c>
      <c r="Y169" s="21">
        <v>10.1</v>
      </c>
      <c r="Z169" s="19">
        <v>61099464</v>
      </c>
      <c r="AA169" s="22">
        <v>0.42170744864430598</v>
      </c>
      <c r="AB169" s="22">
        <v>7.7314471922793198</v>
      </c>
      <c r="AC169" s="20">
        <v>18.333674724347802</v>
      </c>
      <c r="AD169" s="20">
        <v>45.719613841456898</v>
      </c>
      <c r="AE169" s="20">
        <v>0.87338863436079694</v>
      </c>
      <c r="AF169" s="20">
        <v>0.69487874365923097</v>
      </c>
      <c r="AG169" s="20">
        <v>1.4116307814992</v>
      </c>
      <c r="AH169" s="20">
        <v>4.46742480301568</v>
      </c>
      <c r="AI169" s="21">
        <f t="shared" si="2"/>
        <v>3.0557940215164798</v>
      </c>
      <c r="AJ169" s="21">
        <v>4728150</v>
      </c>
      <c r="AK169" s="21">
        <v>8495988</v>
      </c>
      <c r="AL169" s="21">
        <v>9386874</v>
      </c>
      <c r="AM169" s="20">
        <v>1319.0346999999999</v>
      </c>
      <c r="AN169" s="19">
        <v>10709608.5489852</v>
      </c>
      <c r="AO169" s="21">
        <v>17035.114000000001</v>
      </c>
      <c r="AP169" s="21">
        <v>224.56800000000001</v>
      </c>
      <c r="AQ169" s="21">
        <v>203.7</v>
      </c>
      <c r="AR169" s="22">
        <v>0.27800000000000002</v>
      </c>
      <c r="AS169" s="22">
        <v>0.813869247436523</v>
      </c>
      <c r="AT169" s="20">
        <v>102.7</v>
      </c>
      <c r="AU169" s="20">
        <v>3.5</v>
      </c>
    </row>
    <row r="170" spans="1:47" ht="16" customHeight="1" x14ac:dyDescent="0.2">
      <c r="A170" s="18" t="s">
        <v>282</v>
      </c>
      <c r="B170" s="19">
        <v>2794134.9</v>
      </c>
      <c r="C170" s="19">
        <v>1514826.1</v>
      </c>
      <c r="D170" s="19">
        <v>594105.69999999995</v>
      </c>
      <c r="E170" s="19">
        <v>560759</v>
      </c>
      <c r="F170" s="19">
        <v>1057719.2</v>
      </c>
      <c r="G170" s="19">
        <v>962816.2</v>
      </c>
      <c r="H170" s="19">
        <v>1029515.6</v>
      </c>
      <c r="I170" s="20">
        <v>80.400000000000006</v>
      </c>
      <c r="J170" s="21">
        <v>88.933999999999997</v>
      </c>
      <c r="K170" s="21">
        <v>91.444999999999993</v>
      </c>
      <c r="L170" s="21">
        <v>88.637</v>
      </c>
      <c r="M170" s="21">
        <v>90.402000000000001</v>
      </c>
      <c r="N170" s="21">
        <v>97.251000000000005</v>
      </c>
      <c r="O170" s="21">
        <v>102.13200000000001</v>
      </c>
      <c r="P170" s="21">
        <v>95.69</v>
      </c>
      <c r="Q170" s="21">
        <v>226.170215353136</v>
      </c>
      <c r="R170" s="21">
        <v>113.34</v>
      </c>
      <c r="S170" s="21">
        <v>156.78144599999999</v>
      </c>
      <c r="T170" s="22">
        <v>102.06</v>
      </c>
      <c r="U170" s="19">
        <v>1180050.8999999999</v>
      </c>
      <c r="V170" s="19">
        <v>169627.32441471599</v>
      </c>
      <c r="W170" s="19">
        <v>152155.71</v>
      </c>
      <c r="X170" s="19">
        <v>128854.58</v>
      </c>
      <c r="Y170" s="21">
        <v>10.3</v>
      </c>
      <c r="Z170" s="19">
        <v>61011712</v>
      </c>
      <c r="AA170" s="22">
        <v>0.42233139853054302</v>
      </c>
      <c r="AB170" s="22">
        <v>7.75554791864203</v>
      </c>
      <c r="AC170" s="20">
        <v>18.363654574645899</v>
      </c>
      <c r="AD170" s="20">
        <v>45.796697198072401</v>
      </c>
      <c r="AE170" s="20">
        <v>0.88320393414360399</v>
      </c>
      <c r="AF170" s="20">
        <v>0.70786437318609796</v>
      </c>
      <c r="AG170" s="20">
        <v>1.5620535165317799</v>
      </c>
      <c r="AH170" s="20">
        <v>4.2785577473421696</v>
      </c>
      <c r="AI170" s="21">
        <f t="shared" si="2"/>
        <v>2.7165042308103899</v>
      </c>
      <c r="AJ170" s="21">
        <v>4774497</v>
      </c>
      <c r="AK170" s="21">
        <v>8593759</v>
      </c>
      <c r="AL170" s="21">
        <v>9494473</v>
      </c>
      <c r="AM170" s="20">
        <v>1228.1231</v>
      </c>
      <c r="AN170" s="19">
        <v>10720826.090793399</v>
      </c>
      <c r="AO170" s="21">
        <v>17031.312999999998</v>
      </c>
      <c r="AP170" s="21">
        <v>226.03299999999999</v>
      </c>
      <c r="AQ170" s="21">
        <v>203.833</v>
      </c>
      <c r="AR170" s="22">
        <v>0.52470000000000006</v>
      </c>
      <c r="AS170" s="22">
        <v>0.708024673461914</v>
      </c>
      <c r="AT170" s="20">
        <v>99.9</v>
      </c>
      <c r="AU170" s="20">
        <v>-0.6</v>
      </c>
    </row>
    <row r="171" spans="1:47" ht="16" customHeight="1" x14ac:dyDescent="0.2">
      <c r="A171" s="18" t="s">
        <v>283</v>
      </c>
      <c r="B171" s="19">
        <v>2785476.3</v>
      </c>
      <c r="C171" s="19">
        <v>1509055.9</v>
      </c>
      <c r="D171" s="19">
        <v>594781.9</v>
      </c>
      <c r="E171" s="19">
        <v>557806.69999999995</v>
      </c>
      <c r="F171" s="19">
        <v>1052708.2</v>
      </c>
      <c r="G171" s="19">
        <v>948636</v>
      </c>
      <c r="H171" s="19">
        <v>1024633.9</v>
      </c>
      <c r="I171" s="20">
        <v>80.099999999999994</v>
      </c>
      <c r="J171" s="21">
        <v>89.183000000000007</v>
      </c>
      <c r="K171" s="21">
        <v>91.908000000000001</v>
      </c>
      <c r="L171" s="21">
        <v>88.850999999999999</v>
      </c>
      <c r="M171" s="21">
        <v>90.671000000000006</v>
      </c>
      <c r="N171" s="21">
        <v>97.822999999999993</v>
      </c>
      <c r="O171" s="21">
        <v>102.964</v>
      </c>
      <c r="P171" s="21">
        <v>96.706666666666706</v>
      </c>
      <c r="Q171" s="21">
        <v>211.73237321080501</v>
      </c>
      <c r="R171" s="21">
        <v>109.396666666667</v>
      </c>
      <c r="S171" s="21">
        <v>138.72079199999999</v>
      </c>
      <c r="T171" s="22">
        <v>100.95</v>
      </c>
      <c r="U171" s="19">
        <v>1184283.1000000001</v>
      </c>
      <c r="V171" s="19">
        <v>170169.27211646101</v>
      </c>
      <c r="W171" s="19">
        <v>151961.16</v>
      </c>
      <c r="X171" s="19">
        <v>128693.09</v>
      </c>
      <c r="Y171" s="21">
        <v>10.7</v>
      </c>
      <c r="Z171" s="19">
        <v>60825789</v>
      </c>
      <c r="AA171" s="22">
        <v>0.42516358871909998</v>
      </c>
      <c r="AB171" s="22">
        <v>7.7933275844959304</v>
      </c>
      <c r="AC171" s="20">
        <v>18.330185818534201</v>
      </c>
      <c r="AD171" s="20">
        <v>45.794330756646701</v>
      </c>
      <c r="AE171" s="20">
        <v>0.890269003682152</v>
      </c>
      <c r="AF171" s="20">
        <v>0.74172971369232998</v>
      </c>
      <c r="AG171" s="20">
        <v>1.49554473304473</v>
      </c>
      <c r="AH171" s="20">
        <v>4.1873764324770804</v>
      </c>
      <c r="AI171" s="21">
        <f t="shared" si="2"/>
        <v>2.6918316994323503</v>
      </c>
      <c r="AJ171" s="21">
        <v>4803786</v>
      </c>
      <c r="AK171" s="21">
        <v>8607320</v>
      </c>
      <c r="AL171" s="21">
        <v>9498551</v>
      </c>
      <c r="AM171" s="20">
        <v>1225.6511</v>
      </c>
      <c r="AN171" s="19">
        <v>10841735.9845715</v>
      </c>
      <c r="AO171" s="21">
        <v>17222.582999999999</v>
      </c>
      <c r="AP171" s="21">
        <v>227.047</v>
      </c>
      <c r="AQ171" s="21">
        <v>200.767</v>
      </c>
      <c r="AR171" s="22">
        <v>0.58550000000000002</v>
      </c>
      <c r="AS171" s="22">
        <v>0.70945622762044303</v>
      </c>
      <c r="AT171" s="20">
        <v>93.6</v>
      </c>
      <c r="AU171" s="20">
        <v>-5.3</v>
      </c>
    </row>
    <row r="172" spans="1:47" ht="16" customHeight="1" x14ac:dyDescent="0.2">
      <c r="A172" s="18" t="s">
        <v>284</v>
      </c>
      <c r="B172" s="19">
        <v>2778128.8</v>
      </c>
      <c r="C172" s="19">
        <v>1507484.9</v>
      </c>
      <c r="D172" s="19">
        <v>593887.6</v>
      </c>
      <c r="E172" s="19">
        <v>550893.9</v>
      </c>
      <c r="F172" s="19">
        <v>1064442.3999999999</v>
      </c>
      <c r="G172" s="19">
        <v>950123.3</v>
      </c>
      <c r="H172" s="19">
        <v>1016197</v>
      </c>
      <c r="I172" s="20">
        <v>79.5</v>
      </c>
      <c r="J172" s="21">
        <v>89.537999999999997</v>
      </c>
      <c r="K172" s="21">
        <v>92.412999999999997</v>
      </c>
      <c r="L172" s="21">
        <v>88.947000000000003</v>
      </c>
      <c r="M172" s="21">
        <v>90.94</v>
      </c>
      <c r="N172" s="21">
        <v>98.808999999999997</v>
      </c>
      <c r="O172" s="21">
        <v>104.42400000000001</v>
      </c>
      <c r="P172" s="21">
        <v>96.906666666666695</v>
      </c>
      <c r="Q172" s="21">
        <v>224.20564658065501</v>
      </c>
      <c r="R172" s="21">
        <v>118.49</v>
      </c>
      <c r="S172" s="21">
        <v>141.933424</v>
      </c>
      <c r="T172" s="22">
        <v>100.31</v>
      </c>
      <c r="U172" s="19">
        <v>1188103.5</v>
      </c>
      <c r="V172" s="19">
        <v>170851.496062992</v>
      </c>
      <c r="W172" s="19">
        <v>151886.98000000001</v>
      </c>
      <c r="X172" s="19">
        <v>128531.57</v>
      </c>
      <c r="Y172" s="21">
        <v>11.1</v>
      </c>
      <c r="Z172" s="19">
        <v>60627861</v>
      </c>
      <c r="AA172" s="22">
        <v>0.42766321705458699</v>
      </c>
      <c r="AB172" s="22">
        <v>7.8222866765801804</v>
      </c>
      <c r="AC172" s="20">
        <v>18.290763303082301</v>
      </c>
      <c r="AD172" s="20">
        <v>45.822642497646399</v>
      </c>
      <c r="AE172" s="20">
        <v>0.91790867359442896</v>
      </c>
      <c r="AF172" s="20">
        <v>0.76289288983826697</v>
      </c>
      <c r="AG172" s="20">
        <v>1.04298917748918</v>
      </c>
      <c r="AH172" s="20">
        <v>3.6437300425974399</v>
      </c>
      <c r="AI172" s="21">
        <f t="shared" si="2"/>
        <v>2.6007408651082597</v>
      </c>
      <c r="AJ172" s="21">
        <v>4856040</v>
      </c>
      <c r="AK172" s="21">
        <v>8723292</v>
      </c>
      <c r="AL172" s="21">
        <v>9610720</v>
      </c>
      <c r="AM172" s="20">
        <v>1347.4349999999999</v>
      </c>
      <c r="AN172" s="19">
        <v>10937478.3995887</v>
      </c>
      <c r="AO172" s="21">
        <v>17367.009999999998</v>
      </c>
      <c r="AP172" s="21">
        <v>228.32599999999999</v>
      </c>
      <c r="AQ172" s="21">
        <v>202.167</v>
      </c>
      <c r="AR172" s="22">
        <v>0.37240000000000001</v>
      </c>
      <c r="AS172" s="22">
        <v>0.73271382649739603</v>
      </c>
      <c r="AT172" s="20">
        <v>91.6</v>
      </c>
      <c r="AU172" s="20">
        <v>-6.8</v>
      </c>
    </row>
    <row r="173" spans="1:47" ht="16" customHeight="1" x14ac:dyDescent="0.2">
      <c r="A173" s="18" t="s">
        <v>285</v>
      </c>
      <c r="B173" s="19">
        <v>2768704.6</v>
      </c>
      <c r="C173" s="19">
        <v>1499258.9</v>
      </c>
      <c r="D173" s="19">
        <v>591933.5</v>
      </c>
      <c r="E173" s="19">
        <v>547829.1</v>
      </c>
      <c r="F173" s="19">
        <v>1072198</v>
      </c>
      <c r="G173" s="19">
        <v>948566.3</v>
      </c>
      <c r="H173" s="19">
        <v>1016443.3</v>
      </c>
      <c r="I173" s="20">
        <v>79.599999999999994</v>
      </c>
      <c r="J173" s="21">
        <v>89.775000000000006</v>
      </c>
      <c r="K173" s="21">
        <v>92.799000000000007</v>
      </c>
      <c r="L173" s="21">
        <v>89.293000000000006</v>
      </c>
      <c r="M173" s="21">
        <v>91.262</v>
      </c>
      <c r="N173" s="21">
        <v>98.908000000000001</v>
      </c>
      <c r="O173" s="21">
        <v>104.524</v>
      </c>
      <c r="P173" s="21">
        <v>98.25</v>
      </c>
      <c r="Q173" s="21">
        <v>209.142256435993</v>
      </c>
      <c r="R173" s="21">
        <v>108.416666666667</v>
      </c>
      <c r="S173" s="21">
        <v>137.088443333333</v>
      </c>
      <c r="T173" s="22">
        <v>100.02</v>
      </c>
      <c r="U173" s="19">
        <v>1191240</v>
      </c>
      <c r="V173" s="19">
        <v>171302.81038374701</v>
      </c>
      <c r="W173" s="19">
        <v>151774.29</v>
      </c>
      <c r="X173" s="19">
        <v>128396.03</v>
      </c>
      <c r="Y173" s="21">
        <v>11.4</v>
      </c>
      <c r="Z173" s="19">
        <v>60256092</v>
      </c>
      <c r="AA173" s="22">
        <v>0.43025175022283002</v>
      </c>
      <c r="AB173" s="22">
        <v>7.8487601556231903</v>
      </c>
      <c r="AC173" s="20">
        <v>18.242250383777101</v>
      </c>
      <c r="AD173" s="20">
        <v>45.948957327003498</v>
      </c>
      <c r="AE173" s="20">
        <v>0.92607827151812305</v>
      </c>
      <c r="AF173" s="20">
        <v>0.78039644139222697</v>
      </c>
      <c r="AG173" s="20">
        <v>0.69602734107997299</v>
      </c>
      <c r="AH173" s="20">
        <v>3.4378053909454498</v>
      </c>
      <c r="AI173" s="21">
        <f t="shared" si="2"/>
        <v>2.7417780498654767</v>
      </c>
      <c r="AJ173" s="21">
        <v>4909295</v>
      </c>
      <c r="AK173" s="21">
        <v>8779098</v>
      </c>
      <c r="AL173" s="21">
        <v>9658453</v>
      </c>
      <c r="AM173" s="20">
        <v>1350.3952999999999</v>
      </c>
      <c r="AN173" s="19">
        <v>10980931.408975899</v>
      </c>
      <c r="AO173" s="21">
        <v>17444.525000000001</v>
      </c>
      <c r="AP173" s="21">
        <v>228.80799999999999</v>
      </c>
      <c r="AQ173" s="21">
        <v>201.8</v>
      </c>
      <c r="AR173" s="22">
        <v>0.31380000000000002</v>
      </c>
      <c r="AS173" s="22">
        <v>0.70306072235107397</v>
      </c>
      <c r="AT173" s="20">
        <v>91.7</v>
      </c>
      <c r="AU173" s="20">
        <v>-7.8</v>
      </c>
    </row>
    <row r="174" spans="1:47" ht="16" customHeight="1" x14ac:dyDescent="0.2">
      <c r="A174" s="18" t="s">
        <v>286</v>
      </c>
      <c r="B174" s="19">
        <v>2764818.2</v>
      </c>
      <c r="C174" s="19">
        <v>1496560.7</v>
      </c>
      <c r="D174" s="19">
        <v>592148.19999999995</v>
      </c>
      <c r="E174" s="19">
        <v>540285.1</v>
      </c>
      <c r="F174" s="19">
        <v>1082933.8999999999</v>
      </c>
      <c r="G174" s="19">
        <v>948292.5</v>
      </c>
      <c r="H174" s="19">
        <v>1017269.5</v>
      </c>
      <c r="I174" s="20">
        <v>78.900000000000006</v>
      </c>
      <c r="J174" s="21">
        <v>90.153999999999996</v>
      </c>
      <c r="K174" s="21">
        <v>93.052999999999997</v>
      </c>
      <c r="L174" s="21">
        <v>89.457999999999998</v>
      </c>
      <c r="M174" s="21">
        <v>91.41</v>
      </c>
      <c r="N174" s="21">
        <v>99.453999999999994</v>
      </c>
      <c r="O174" s="21">
        <v>104.874</v>
      </c>
      <c r="P174" s="21">
        <v>98.13</v>
      </c>
      <c r="Q174" s="21">
        <v>210.01568647034401</v>
      </c>
      <c r="R174" s="21">
        <v>109.613333333333</v>
      </c>
      <c r="S174" s="21">
        <v>136.125943333333</v>
      </c>
      <c r="T174" s="22">
        <v>99.39</v>
      </c>
      <c r="U174" s="19">
        <v>1191707</v>
      </c>
      <c r="V174" s="19">
        <v>171331.15384615399</v>
      </c>
      <c r="W174" s="19">
        <v>151456.74</v>
      </c>
      <c r="X174" s="19">
        <v>128066.45</v>
      </c>
      <c r="Y174" s="21">
        <v>11.6</v>
      </c>
      <c r="Z174" s="19">
        <v>60062272</v>
      </c>
      <c r="AA174" s="22">
        <v>0.43102544680876298</v>
      </c>
      <c r="AB174" s="22">
        <v>7.8682995553713901</v>
      </c>
      <c r="AC174" s="20">
        <v>18.254837651992201</v>
      </c>
      <c r="AD174" s="20">
        <v>46.032527707243602</v>
      </c>
      <c r="AE174" s="20">
        <v>0.94570428016300101</v>
      </c>
      <c r="AF174" s="20">
        <v>0.79987202047672401</v>
      </c>
      <c r="AG174" s="20">
        <v>0.35857891963109401</v>
      </c>
      <c r="AH174" s="20">
        <v>2.8919013459005098</v>
      </c>
      <c r="AI174" s="21">
        <f t="shared" si="2"/>
        <v>2.5333224262694158</v>
      </c>
      <c r="AJ174" s="21">
        <v>5025079</v>
      </c>
      <c r="AK174" s="21">
        <v>8875881</v>
      </c>
      <c r="AL174" s="21">
        <v>9713753</v>
      </c>
      <c r="AM174" s="20">
        <v>1402.212</v>
      </c>
      <c r="AN174" s="19">
        <v>10987910.9615093</v>
      </c>
      <c r="AO174" s="21">
        <v>17469.650000000001</v>
      </c>
      <c r="AP174" s="21">
        <v>229.84100000000001</v>
      </c>
      <c r="AQ174" s="21">
        <v>202.4</v>
      </c>
      <c r="AR174" s="22">
        <v>0.28789999999999999</v>
      </c>
      <c r="AS174" s="22">
        <v>0.65847259521484403</v>
      </c>
      <c r="AT174" s="20">
        <v>87.9</v>
      </c>
      <c r="AU174" s="20">
        <v>-11.3</v>
      </c>
    </row>
    <row r="175" spans="1:47" ht="16" customHeight="1" x14ac:dyDescent="0.2">
      <c r="A175" s="18" t="s">
        <v>287</v>
      </c>
      <c r="B175" s="19">
        <v>2753355.9</v>
      </c>
      <c r="C175" s="19">
        <v>1489543.8</v>
      </c>
      <c r="D175" s="19">
        <v>592040.9</v>
      </c>
      <c r="E175" s="19">
        <v>533136.69999999995</v>
      </c>
      <c r="F175" s="19">
        <v>1077307.2</v>
      </c>
      <c r="G175" s="19">
        <v>941943.2</v>
      </c>
      <c r="H175" s="19">
        <v>1008741.8</v>
      </c>
      <c r="I175" s="20">
        <v>78.3</v>
      </c>
      <c r="J175" s="21">
        <v>90.323999999999998</v>
      </c>
      <c r="K175" s="21">
        <v>93.516999999999996</v>
      </c>
      <c r="L175" s="21">
        <v>89.042000000000002</v>
      </c>
      <c r="M175" s="21">
        <v>91.549000000000007</v>
      </c>
      <c r="N175" s="21">
        <v>99.528000000000006</v>
      </c>
      <c r="O175" s="21">
        <v>104.765</v>
      </c>
      <c r="P175" s="21">
        <v>98.9433333333333</v>
      </c>
      <c r="Q175" s="21">
        <v>209.87691688701099</v>
      </c>
      <c r="R175" s="21">
        <v>110.086666666667</v>
      </c>
      <c r="S175" s="21">
        <v>135.62617533333301</v>
      </c>
      <c r="T175" s="22">
        <v>98.84</v>
      </c>
      <c r="U175" s="19">
        <v>1191778.8</v>
      </c>
      <c r="V175" s="19">
        <v>171640.954545455</v>
      </c>
      <c r="W175" s="19">
        <v>151044.04</v>
      </c>
      <c r="X175" s="19">
        <v>127779.18</v>
      </c>
      <c r="Y175" s="21">
        <v>12</v>
      </c>
      <c r="Z175" s="19">
        <v>59700212</v>
      </c>
      <c r="AA175" s="22">
        <v>0.432845895439816</v>
      </c>
      <c r="AB175" s="22">
        <v>7.8902735917286098</v>
      </c>
      <c r="AC175" s="20">
        <v>18.2288284926701</v>
      </c>
      <c r="AD175" s="20">
        <v>46.119700546456997</v>
      </c>
      <c r="AE175" s="20">
        <v>0.92535842987649297</v>
      </c>
      <c r="AF175" s="20">
        <v>0.77118840132644395</v>
      </c>
      <c r="AG175" s="20">
        <v>0.195128909229596</v>
      </c>
      <c r="AH175" s="20">
        <v>2.21716678113301</v>
      </c>
      <c r="AI175" s="21">
        <f t="shared" si="2"/>
        <v>2.022037871903414</v>
      </c>
      <c r="AJ175" s="21">
        <v>5102595</v>
      </c>
      <c r="AK175" s="21">
        <v>8998474</v>
      </c>
      <c r="AL175" s="21">
        <v>9785187</v>
      </c>
      <c r="AM175" s="20">
        <v>1418.2048</v>
      </c>
      <c r="AN175" s="19">
        <v>11001078.048274999</v>
      </c>
      <c r="AO175" s="21">
        <v>17489.851999999999</v>
      </c>
      <c r="AP175" s="21">
        <v>231.369</v>
      </c>
      <c r="AQ175" s="21">
        <v>202.267</v>
      </c>
      <c r="AR175" s="22">
        <v>9.8400000000000001E-2</v>
      </c>
      <c r="AS175" s="22">
        <v>0.67442400614420595</v>
      </c>
      <c r="AT175" s="20">
        <v>84.9</v>
      </c>
      <c r="AU175" s="20">
        <v>-14.6</v>
      </c>
    </row>
    <row r="176" spans="1:47" ht="16" customHeight="1" x14ac:dyDescent="0.2">
      <c r="A176" s="18" t="s">
        <v>288</v>
      </c>
      <c r="B176" s="19">
        <v>2743924.8</v>
      </c>
      <c r="C176" s="19">
        <v>1482236.6</v>
      </c>
      <c r="D176" s="19">
        <v>592645.30000000005</v>
      </c>
      <c r="E176" s="19">
        <v>523656.6</v>
      </c>
      <c r="F176" s="19">
        <v>1082248.8999999999</v>
      </c>
      <c r="G176" s="19">
        <v>942159.9</v>
      </c>
      <c r="H176" s="19">
        <v>1014774.8</v>
      </c>
      <c r="I176" s="20">
        <v>77.900000000000006</v>
      </c>
      <c r="J176" s="21">
        <v>90.834999999999994</v>
      </c>
      <c r="K176" s="21">
        <v>93.875</v>
      </c>
      <c r="L176" s="21">
        <v>89.947999999999993</v>
      </c>
      <c r="M176" s="21">
        <v>91.465000000000003</v>
      </c>
      <c r="N176" s="21">
        <v>99.259</v>
      </c>
      <c r="O176" s="21">
        <v>104.53700000000001</v>
      </c>
      <c r="P176" s="21">
        <v>98.716666666666697</v>
      </c>
      <c r="Q176" s="21">
        <v>213.72383557845501</v>
      </c>
      <c r="R176" s="21">
        <v>112.493333333333</v>
      </c>
      <c r="S176" s="21">
        <v>138.35486</v>
      </c>
      <c r="T176" s="22">
        <v>97.5</v>
      </c>
      <c r="U176" s="19">
        <v>1196189.5</v>
      </c>
      <c r="V176" s="19">
        <v>171857.52565564401</v>
      </c>
      <c r="W176" s="19">
        <v>150719.04999999999</v>
      </c>
      <c r="X176" s="19">
        <v>127566.51</v>
      </c>
      <c r="Y176" s="21">
        <v>12.3</v>
      </c>
      <c r="Z176" s="19">
        <v>59373152</v>
      </c>
      <c r="AA176" s="22">
        <v>0.43594106514872399</v>
      </c>
      <c r="AB176" s="22">
        <v>7.9365514843677696</v>
      </c>
      <c r="AC176" s="20">
        <v>18.205560610951299</v>
      </c>
      <c r="AD176" s="20">
        <v>46.214908718337902</v>
      </c>
      <c r="AE176" s="20">
        <v>0.904136242482107</v>
      </c>
      <c r="AF176" s="20">
        <v>0.75723156141147996</v>
      </c>
      <c r="AG176" s="20">
        <v>0.21143636363636401</v>
      </c>
      <c r="AH176" s="20">
        <v>2.7596494628016299</v>
      </c>
      <c r="AI176" s="21">
        <f t="shared" si="2"/>
        <v>2.5482130991652658</v>
      </c>
      <c r="AJ176" s="21">
        <v>5173010</v>
      </c>
      <c r="AK176" s="21">
        <v>9079682</v>
      </c>
      <c r="AL176" s="21">
        <v>9803199</v>
      </c>
      <c r="AM176" s="20">
        <v>1514.5119</v>
      </c>
      <c r="AN176" s="19">
        <v>11116660.818129599</v>
      </c>
      <c r="AO176" s="21">
        <v>17662.400000000001</v>
      </c>
      <c r="AP176" s="21">
        <v>232.29900000000001</v>
      </c>
      <c r="AQ176" s="21">
        <v>203.6</v>
      </c>
      <c r="AR176" s="22">
        <v>8.3699999999999997E-2</v>
      </c>
      <c r="AS176" s="22">
        <v>0.66324653625488295</v>
      </c>
      <c r="AT176" s="20">
        <v>88.1</v>
      </c>
      <c r="AU176" s="20">
        <v>-11.4</v>
      </c>
    </row>
    <row r="177" spans="1:47" ht="16" customHeight="1" x14ac:dyDescent="0.2">
      <c r="A177" s="18" t="s">
        <v>289</v>
      </c>
      <c r="B177" s="19">
        <v>2761814.1</v>
      </c>
      <c r="C177" s="19">
        <v>1487705.8</v>
      </c>
      <c r="D177" s="19">
        <v>593779.9</v>
      </c>
      <c r="E177" s="19">
        <v>529806.1</v>
      </c>
      <c r="F177" s="19">
        <v>1094547.8</v>
      </c>
      <c r="G177" s="19">
        <v>957265.9</v>
      </c>
      <c r="H177" s="19">
        <v>1027171</v>
      </c>
      <c r="I177" s="20">
        <v>78.3</v>
      </c>
      <c r="J177" s="21">
        <v>91.046999999999997</v>
      </c>
      <c r="K177" s="21">
        <v>93.867999999999995</v>
      </c>
      <c r="L177" s="21">
        <v>90.171000000000006</v>
      </c>
      <c r="M177" s="21">
        <v>91.438999999999993</v>
      </c>
      <c r="N177" s="21">
        <v>98.742999999999995</v>
      </c>
      <c r="O177" s="21">
        <v>103.129</v>
      </c>
      <c r="P177" s="21">
        <v>99.63</v>
      </c>
      <c r="Q177" s="21">
        <v>196.85913175691499</v>
      </c>
      <c r="R177" s="21">
        <v>102.57666666666699</v>
      </c>
      <c r="S177" s="21">
        <v>128.96548000000001</v>
      </c>
      <c r="T177" s="22">
        <v>97.61</v>
      </c>
      <c r="U177" s="19">
        <v>1200117.8</v>
      </c>
      <c r="V177" s="19">
        <v>171579.214123007</v>
      </c>
      <c r="W177" s="19">
        <v>150646.54999999999</v>
      </c>
      <c r="X177" s="19">
        <v>127430.87</v>
      </c>
      <c r="Y177" s="21">
        <v>12.2</v>
      </c>
      <c r="Z177" s="19">
        <v>59516612</v>
      </c>
      <c r="AA177" s="22">
        <v>0.43453967448424602</v>
      </c>
      <c r="AB177" s="22">
        <v>7.96644729003087</v>
      </c>
      <c r="AC177" s="20">
        <v>18.3330723471596</v>
      </c>
      <c r="AD177" s="20">
        <v>46.404087988073002</v>
      </c>
      <c r="AE177" s="20">
        <v>0.90273184711574195</v>
      </c>
      <c r="AF177" s="20">
        <v>0.76557954371459203</v>
      </c>
      <c r="AG177" s="20">
        <v>0.206794011544012</v>
      </c>
      <c r="AH177" s="20">
        <v>2.8699781657272299</v>
      </c>
      <c r="AI177" s="21">
        <f t="shared" si="2"/>
        <v>2.663184154183218</v>
      </c>
      <c r="AJ177" s="21">
        <v>5240787</v>
      </c>
      <c r="AK177" s="21">
        <v>9126627</v>
      </c>
      <c r="AL177" s="21">
        <v>9818212</v>
      </c>
      <c r="AM177" s="20">
        <v>1609.7725</v>
      </c>
      <c r="AN177" s="19">
        <v>11146371.656480201</v>
      </c>
      <c r="AO177" s="21">
        <v>17709.670999999998</v>
      </c>
      <c r="AP177" s="21">
        <v>232.04499999999999</v>
      </c>
      <c r="AQ177" s="21">
        <v>203.96700000000001</v>
      </c>
      <c r="AR177" s="22">
        <v>6.6900000000000001E-2</v>
      </c>
      <c r="AS177" s="22">
        <v>0.73739906311035097</v>
      </c>
      <c r="AT177" s="20">
        <v>87.7</v>
      </c>
      <c r="AU177" s="20">
        <v>-11.3</v>
      </c>
    </row>
    <row r="178" spans="1:47" ht="16" customHeight="1" x14ac:dyDescent="0.2">
      <c r="A178" s="18" t="s">
        <v>290</v>
      </c>
      <c r="B178" s="19">
        <v>2769896.1</v>
      </c>
      <c r="C178" s="19">
        <v>1491654.4</v>
      </c>
      <c r="D178" s="19">
        <v>595105.80000000005</v>
      </c>
      <c r="E178" s="19">
        <v>532975.19999999995</v>
      </c>
      <c r="F178" s="19">
        <v>1104924.7</v>
      </c>
      <c r="G178" s="19">
        <v>971099.1</v>
      </c>
      <c r="H178" s="19">
        <v>1031140.1</v>
      </c>
      <c r="I178" s="20">
        <v>79.3</v>
      </c>
      <c r="J178" s="21">
        <v>91.162000000000006</v>
      </c>
      <c r="K178" s="21">
        <v>94.125</v>
      </c>
      <c r="L178" s="21">
        <v>90.302999999999997</v>
      </c>
      <c r="M178" s="21">
        <v>91.697999999999993</v>
      </c>
      <c r="N178" s="21">
        <v>98.494</v>
      </c>
      <c r="O178" s="21">
        <v>103.01</v>
      </c>
      <c r="P178" s="21">
        <v>99.45</v>
      </c>
      <c r="Q178" s="21">
        <v>202.75993805085</v>
      </c>
      <c r="R178" s="21">
        <v>110.27</v>
      </c>
      <c r="S178" s="21">
        <v>125.891694</v>
      </c>
      <c r="T178" s="22">
        <v>98.15</v>
      </c>
      <c r="U178" s="19">
        <v>1205895.8999999999</v>
      </c>
      <c r="V178" s="19">
        <v>171516.006825939</v>
      </c>
      <c r="W178" s="19">
        <v>150762.57</v>
      </c>
      <c r="X178" s="19">
        <v>127489.16</v>
      </c>
      <c r="Y178" s="21">
        <v>12.1</v>
      </c>
      <c r="Z178" s="19">
        <v>59577722</v>
      </c>
      <c r="AA178" s="22">
        <v>0.43535780999150098</v>
      </c>
      <c r="AB178" s="22">
        <v>7.9986425012521298</v>
      </c>
      <c r="AC178" s="20">
        <v>18.372571520902</v>
      </c>
      <c r="AD178" s="20">
        <v>46.4921451679539</v>
      </c>
      <c r="AE178" s="20">
        <v>0.88368626780995996</v>
      </c>
      <c r="AF178" s="20">
        <v>0.75517293460202395</v>
      </c>
      <c r="AG178" s="20">
        <v>0.22351217140347601</v>
      </c>
      <c r="AH178" s="20">
        <v>3.2017818016585702</v>
      </c>
      <c r="AI178" s="21">
        <f t="shared" si="2"/>
        <v>2.9782696302550944</v>
      </c>
      <c r="AJ178" s="21">
        <v>5345103</v>
      </c>
      <c r="AK178" s="21">
        <v>9198843</v>
      </c>
      <c r="AL178" s="21">
        <v>9868977</v>
      </c>
      <c r="AM178" s="20">
        <v>1675.3142</v>
      </c>
      <c r="AN178" s="19">
        <v>11242598.2275535</v>
      </c>
      <c r="AO178" s="21">
        <v>17860.45</v>
      </c>
      <c r="AP178" s="21">
        <v>233.3</v>
      </c>
      <c r="AQ178" s="21">
        <v>204.167</v>
      </c>
      <c r="AR178" s="22">
        <v>3.7400000000000003E-2</v>
      </c>
      <c r="AS178" s="22">
        <v>0.72162695566813095</v>
      </c>
      <c r="AT178" s="20">
        <v>90.5</v>
      </c>
      <c r="AU178" s="20">
        <v>-8.3000000000000007</v>
      </c>
    </row>
    <row r="179" spans="1:47" ht="16" customHeight="1" x14ac:dyDescent="0.2">
      <c r="A179" s="18" t="s">
        <v>291</v>
      </c>
      <c r="B179" s="19">
        <v>2776036.7</v>
      </c>
      <c r="C179" s="19">
        <v>1493504.9</v>
      </c>
      <c r="D179" s="19">
        <v>596124.9</v>
      </c>
      <c r="E179" s="19">
        <v>538647.1</v>
      </c>
      <c r="F179" s="19">
        <v>1114846.3999999999</v>
      </c>
      <c r="G179" s="19">
        <v>980721.6</v>
      </c>
      <c r="H179" s="19">
        <v>1035149.9</v>
      </c>
      <c r="I179" s="20">
        <v>79.7</v>
      </c>
      <c r="J179" s="21">
        <v>91.224000000000004</v>
      </c>
      <c r="K179" s="21">
        <v>94.236000000000004</v>
      </c>
      <c r="L179" s="21">
        <v>90.391999999999996</v>
      </c>
      <c r="M179" s="21">
        <v>91.808999999999997</v>
      </c>
      <c r="N179" s="21">
        <v>98.418000000000006</v>
      </c>
      <c r="O179" s="21">
        <v>102.633</v>
      </c>
      <c r="P179" s="21">
        <v>99.746666666666698</v>
      </c>
      <c r="Q179" s="21">
        <v>201.66759153120901</v>
      </c>
      <c r="R179" s="21">
        <v>109.21</v>
      </c>
      <c r="S179" s="21">
        <v>127.47126</v>
      </c>
      <c r="T179" s="22">
        <v>97.5</v>
      </c>
      <c r="U179" s="19">
        <v>1210571.2</v>
      </c>
      <c r="V179" s="19">
        <v>171668.761363636</v>
      </c>
      <c r="W179" s="19">
        <v>151068.51</v>
      </c>
      <c r="X179" s="19">
        <v>127740.83</v>
      </c>
      <c r="Y179" s="21">
        <v>12</v>
      </c>
      <c r="Z179" s="19">
        <v>59784322</v>
      </c>
      <c r="AA179" s="22">
        <v>0.43607896105984501</v>
      </c>
      <c r="AB179" s="22">
        <v>8.0133920695980905</v>
      </c>
      <c r="AC179" s="20">
        <v>18.376011651932</v>
      </c>
      <c r="AD179" s="20">
        <v>46.434192228524402</v>
      </c>
      <c r="AE179" s="20">
        <v>0.86992957920056402</v>
      </c>
      <c r="AF179" s="20">
        <v>0.73475385745775201</v>
      </c>
      <c r="AG179" s="20">
        <v>0.24090234644582501</v>
      </c>
      <c r="AH179" s="20">
        <v>3.21569407448809</v>
      </c>
      <c r="AI179" s="21">
        <f t="shared" si="2"/>
        <v>2.9747917280422649</v>
      </c>
      <c r="AJ179" s="21">
        <v>5386119</v>
      </c>
      <c r="AK179" s="21">
        <v>9212026</v>
      </c>
      <c r="AL179" s="21">
        <v>9832650</v>
      </c>
      <c r="AM179" s="20">
        <v>1770.4476</v>
      </c>
      <c r="AN179" s="19">
        <v>11338548.2077897</v>
      </c>
      <c r="AO179" s="21">
        <v>18016.147000000001</v>
      </c>
      <c r="AP179" s="21">
        <v>234.16300000000001</v>
      </c>
      <c r="AQ179" s="21">
        <v>201.9</v>
      </c>
      <c r="AR179" s="22">
        <v>1.47E-2</v>
      </c>
      <c r="AS179" s="22">
        <v>0.67874356587727902</v>
      </c>
      <c r="AT179" s="20">
        <v>95.7</v>
      </c>
      <c r="AU179" s="20">
        <v>-3.7</v>
      </c>
    </row>
    <row r="180" spans="1:47" ht="16" customHeight="1" x14ac:dyDescent="0.2">
      <c r="A180" s="18" t="s">
        <v>292</v>
      </c>
      <c r="B180" s="19">
        <v>2788640.4</v>
      </c>
      <c r="C180" s="19">
        <v>1492502.9</v>
      </c>
      <c r="D180" s="19">
        <v>597023.4</v>
      </c>
      <c r="E180" s="19">
        <v>539161.4</v>
      </c>
      <c r="F180" s="19">
        <v>1124752.6000000001</v>
      </c>
      <c r="G180" s="19">
        <v>984628.1</v>
      </c>
      <c r="H180" s="19">
        <v>1044586.7</v>
      </c>
      <c r="I180" s="20">
        <v>80.099999999999994</v>
      </c>
      <c r="J180" s="21">
        <v>91.641999999999996</v>
      </c>
      <c r="K180" s="21">
        <v>94.504000000000005</v>
      </c>
      <c r="L180" s="21">
        <v>90.694000000000003</v>
      </c>
      <c r="M180" s="21">
        <v>92.02</v>
      </c>
      <c r="N180" s="21">
        <v>98.091999999999999</v>
      </c>
      <c r="O180" s="21">
        <v>102.494</v>
      </c>
      <c r="P180" s="21">
        <v>99.35</v>
      </c>
      <c r="Q180" s="21">
        <v>201.21995079505999</v>
      </c>
      <c r="R180" s="21">
        <v>108.166666666667</v>
      </c>
      <c r="S180" s="21">
        <v>128.76522666666699</v>
      </c>
      <c r="T180" s="22">
        <v>97.41</v>
      </c>
      <c r="U180" s="19">
        <v>1218724.5</v>
      </c>
      <c r="V180" s="19">
        <v>171984.488636364</v>
      </c>
      <c r="W180" s="19">
        <v>151346.35</v>
      </c>
      <c r="X180" s="19">
        <v>128031.14</v>
      </c>
      <c r="Y180" s="21">
        <v>12</v>
      </c>
      <c r="Z180" s="19">
        <v>59847278</v>
      </c>
      <c r="AA180" s="22">
        <v>0.43703178796376901</v>
      </c>
      <c r="AB180" s="22">
        <v>8.0525529687369399</v>
      </c>
      <c r="AC180" s="20">
        <v>18.425554365863501</v>
      </c>
      <c r="AD180" s="20">
        <v>46.5959437620538</v>
      </c>
      <c r="AE180" s="20">
        <v>0.85733490016049296</v>
      </c>
      <c r="AF180" s="20">
        <v>0.730140186915888</v>
      </c>
      <c r="AG180" s="20">
        <v>0.29515959595959601</v>
      </c>
      <c r="AH180" s="20">
        <v>3.06219928138621</v>
      </c>
      <c r="AI180" s="21">
        <f t="shared" si="2"/>
        <v>2.7670396854266142</v>
      </c>
      <c r="AJ180" s="21">
        <v>5475017</v>
      </c>
      <c r="AK180" s="21">
        <v>9284719</v>
      </c>
      <c r="AL180" s="21">
        <v>9891849</v>
      </c>
      <c r="AM180" s="20">
        <v>1834.3049000000001</v>
      </c>
      <c r="AN180" s="19">
        <v>11298346.6686421</v>
      </c>
      <c r="AO180" s="21">
        <v>17953.973999999998</v>
      </c>
      <c r="AP180" s="21">
        <v>235.62100000000001</v>
      </c>
      <c r="AQ180" s="21">
        <v>205.5</v>
      </c>
      <c r="AR180" s="22">
        <v>1.6899999999999998E-2</v>
      </c>
      <c r="AS180" s="22">
        <v>0.75991998036702502</v>
      </c>
      <c r="AT180" s="20">
        <v>98.7</v>
      </c>
      <c r="AU180" s="20">
        <v>-2.6</v>
      </c>
    </row>
    <row r="181" spans="1:47" ht="16" customHeight="1" x14ac:dyDescent="0.2">
      <c r="A181" s="18" t="s">
        <v>293</v>
      </c>
      <c r="B181" s="19">
        <v>2795378.1</v>
      </c>
      <c r="C181" s="19">
        <v>1498613.8</v>
      </c>
      <c r="D181" s="19">
        <v>597983.80000000005</v>
      </c>
      <c r="E181" s="19">
        <v>536753.30000000005</v>
      </c>
      <c r="F181" s="19">
        <v>1138178.6000000001</v>
      </c>
      <c r="G181" s="19">
        <v>999885.5</v>
      </c>
      <c r="H181" s="19">
        <v>1048916.3</v>
      </c>
      <c r="I181" s="20">
        <v>80.2</v>
      </c>
      <c r="J181" s="21">
        <v>91.83</v>
      </c>
      <c r="K181" s="21">
        <v>94.486999999999995</v>
      </c>
      <c r="L181" s="21">
        <v>90.876000000000005</v>
      </c>
      <c r="M181" s="21">
        <v>92.022999999999996</v>
      </c>
      <c r="N181" s="21">
        <v>97.924000000000007</v>
      </c>
      <c r="O181" s="21">
        <v>101.779</v>
      </c>
      <c r="P181" s="21">
        <v>100.19</v>
      </c>
      <c r="Q181" s="21">
        <v>205.408078083579</v>
      </c>
      <c r="R181" s="21">
        <v>109.7</v>
      </c>
      <c r="S181" s="21">
        <v>129.53695766666701</v>
      </c>
      <c r="T181" s="22">
        <v>98.38</v>
      </c>
      <c r="U181" s="19">
        <v>1225684.1000000001</v>
      </c>
      <c r="V181" s="19">
        <v>171856.43261608199</v>
      </c>
      <c r="W181" s="19">
        <v>151749.23000000001</v>
      </c>
      <c r="X181" s="19">
        <v>128496.82</v>
      </c>
      <c r="Y181" s="21">
        <v>11.7</v>
      </c>
      <c r="Z181" s="19">
        <v>59859475</v>
      </c>
      <c r="AA181" s="22">
        <v>0.438468091311154</v>
      </c>
      <c r="AB181" s="22">
        <v>8.0770367006145598</v>
      </c>
      <c r="AC181" s="20">
        <v>18.421036469180098</v>
      </c>
      <c r="AD181" s="20">
        <v>46.699007968245603</v>
      </c>
      <c r="AE181" s="20">
        <v>0.86017978330924305</v>
      </c>
      <c r="AF181" s="20">
        <v>0.72934140471154596</v>
      </c>
      <c r="AG181" s="20">
        <v>0.29858333333333298</v>
      </c>
      <c r="AH181" s="20">
        <v>2.4799969721209401</v>
      </c>
      <c r="AI181" s="21">
        <f t="shared" si="2"/>
        <v>2.1814136387876069</v>
      </c>
      <c r="AJ181" s="21">
        <v>5548049</v>
      </c>
      <c r="AK181" s="21">
        <v>9362807</v>
      </c>
      <c r="AL181" s="21">
        <v>9973532</v>
      </c>
      <c r="AM181" s="20">
        <v>1900.3726999999999</v>
      </c>
      <c r="AN181" s="19">
        <v>11430654.2442577</v>
      </c>
      <c r="AO181" s="21">
        <v>18185.911</v>
      </c>
      <c r="AP181" s="21">
        <v>236.87200000000001</v>
      </c>
      <c r="AQ181" s="21">
        <v>208.2</v>
      </c>
      <c r="AR181" s="22">
        <v>4.7000000000000002E-3</v>
      </c>
      <c r="AS181" s="22">
        <v>0.77129358927408798</v>
      </c>
      <c r="AT181" s="20">
        <v>99.5</v>
      </c>
      <c r="AU181" s="20">
        <v>-2.2999999999999998</v>
      </c>
    </row>
    <row r="182" spans="1:47" ht="16" customHeight="1" x14ac:dyDescent="0.2">
      <c r="A182" s="18" t="s">
        <v>294</v>
      </c>
      <c r="B182" s="19">
        <v>2808964.7</v>
      </c>
      <c r="C182" s="19">
        <v>1506335</v>
      </c>
      <c r="D182" s="19">
        <v>600165.80000000005</v>
      </c>
      <c r="E182" s="19">
        <v>539924.30000000005</v>
      </c>
      <c r="F182" s="19">
        <v>1156912</v>
      </c>
      <c r="G182" s="19">
        <v>1016332.8</v>
      </c>
      <c r="H182" s="19">
        <v>1054163.5</v>
      </c>
      <c r="I182" s="20">
        <v>80.3</v>
      </c>
      <c r="J182" s="21">
        <v>91.984999999999999</v>
      </c>
      <c r="K182" s="21">
        <v>94.5</v>
      </c>
      <c r="L182" s="21">
        <v>91.01</v>
      </c>
      <c r="M182" s="21">
        <v>92.27</v>
      </c>
      <c r="N182" s="21">
        <v>98.066000000000003</v>
      </c>
      <c r="O182" s="21">
        <v>101.742</v>
      </c>
      <c r="P182" s="21">
        <v>99.8</v>
      </c>
      <c r="Q182" s="21">
        <v>193.07</v>
      </c>
      <c r="R182" s="21">
        <v>101.823333333333</v>
      </c>
      <c r="S182" s="21">
        <v>127.11620266666699</v>
      </c>
      <c r="T182" s="22">
        <v>98.95</v>
      </c>
      <c r="U182" s="19">
        <v>1233463.7</v>
      </c>
      <c r="V182" s="19">
        <v>172139.76244343899</v>
      </c>
      <c r="W182" s="19">
        <v>152171.54999999999</v>
      </c>
      <c r="X182" s="19">
        <v>128884.4</v>
      </c>
      <c r="Y182" s="21">
        <v>11.6</v>
      </c>
      <c r="Z182" s="19">
        <v>59984596</v>
      </c>
      <c r="AA182" s="22">
        <v>0.43911683902613702</v>
      </c>
      <c r="AB182" s="22">
        <v>8.1057444706319899</v>
      </c>
      <c r="AC182" s="20">
        <v>18.459197530681699</v>
      </c>
      <c r="AD182" s="20">
        <v>46.828100667711396</v>
      </c>
      <c r="AE182" s="20">
        <v>0.878667705447154</v>
      </c>
      <c r="AF182" s="20">
        <v>0.75437537718768899</v>
      </c>
      <c r="AG182" s="20">
        <v>0.16456860530773601</v>
      </c>
      <c r="AH182" s="20">
        <v>1.9989944768393</v>
      </c>
      <c r="AI182" s="21">
        <f t="shared" si="2"/>
        <v>1.834425871531564</v>
      </c>
      <c r="AJ182" s="21">
        <v>5683788</v>
      </c>
      <c r="AK182" s="21">
        <v>9482753</v>
      </c>
      <c r="AL182" s="21">
        <v>10098645</v>
      </c>
      <c r="AM182" s="20">
        <v>1975.9527</v>
      </c>
      <c r="AN182" s="19">
        <v>11568487.0557526</v>
      </c>
      <c r="AO182" s="21">
        <v>18406.940999999999</v>
      </c>
      <c r="AP182" s="21">
        <v>237.47800000000001</v>
      </c>
      <c r="AQ182" s="21">
        <v>207.13300000000001</v>
      </c>
      <c r="AR182" s="22">
        <v>1.29E-2</v>
      </c>
      <c r="AS182" s="22">
        <v>1.0158732350667301</v>
      </c>
      <c r="AT182" s="20">
        <v>98.9</v>
      </c>
      <c r="AU182" s="20">
        <v>-3.6</v>
      </c>
    </row>
    <row r="183" spans="1:47" ht="16" customHeight="1" x14ac:dyDescent="0.2">
      <c r="A183" s="18" t="s">
        <v>295</v>
      </c>
      <c r="B183" s="19">
        <v>2819884.3</v>
      </c>
      <c r="C183" s="19">
        <v>1514450.6</v>
      </c>
      <c r="D183" s="19">
        <v>602305.1</v>
      </c>
      <c r="E183" s="19">
        <v>541026.9</v>
      </c>
      <c r="F183" s="19">
        <v>1170719.3999999999</v>
      </c>
      <c r="G183" s="19">
        <v>1027126.4</v>
      </c>
      <c r="H183" s="19">
        <v>1060080.5</v>
      </c>
      <c r="I183" s="20">
        <v>80.400000000000006</v>
      </c>
      <c r="J183" s="21">
        <v>92.247</v>
      </c>
      <c r="K183" s="21">
        <v>94.581999999999994</v>
      </c>
      <c r="L183" s="21">
        <v>91.135000000000005</v>
      </c>
      <c r="M183" s="21">
        <v>92.575999999999993</v>
      </c>
      <c r="N183" s="21">
        <v>98.004000000000005</v>
      </c>
      <c r="O183" s="21">
        <v>100.88800000000001</v>
      </c>
      <c r="P183" s="21">
        <v>99.906666666666695</v>
      </c>
      <c r="Q183" s="21">
        <v>168.8</v>
      </c>
      <c r="R183" s="21">
        <v>76.403333333333293</v>
      </c>
      <c r="S183" s="21">
        <v>122.54289</v>
      </c>
      <c r="T183" s="22">
        <v>98.37</v>
      </c>
      <c r="U183" s="19">
        <v>1241160.8999999999</v>
      </c>
      <c r="V183" s="19">
        <v>172405.52036199099</v>
      </c>
      <c r="W183" s="19">
        <v>152406.48000000001</v>
      </c>
      <c r="X183" s="19">
        <v>129113.63</v>
      </c>
      <c r="Y183" s="21">
        <v>11.6</v>
      </c>
      <c r="Z183" s="19">
        <v>60224986</v>
      </c>
      <c r="AA183" s="22">
        <v>0.44014603719734202</v>
      </c>
      <c r="AB183" s="22">
        <v>8.1437541238404005</v>
      </c>
      <c r="AC183" s="20">
        <v>18.502391105680001</v>
      </c>
      <c r="AD183" s="20">
        <v>46.822498223577803</v>
      </c>
      <c r="AE183" s="20">
        <v>0.89145204463440997</v>
      </c>
      <c r="AF183" s="20">
        <v>0.80012802048327702</v>
      </c>
      <c r="AG183" s="20">
        <v>8.1471152518978601E-2</v>
      </c>
      <c r="AH183" s="20">
        <v>1.5842081158724299</v>
      </c>
      <c r="AI183" s="21">
        <f t="shared" si="2"/>
        <v>1.5027369633534513</v>
      </c>
      <c r="AJ183" s="21">
        <v>5941966</v>
      </c>
      <c r="AK183" s="21">
        <v>9676028</v>
      </c>
      <c r="AL183" s="21">
        <v>10326597</v>
      </c>
      <c r="AM183" s="20">
        <v>2012.0376000000001</v>
      </c>
      <c r="AN183" s="19">
        <v>11625440.617815901</v>
      </c>
      <c r="AO183" s="21">
        <v>18500.030999999999</v>
      </c>
      <c r="AP183" s="21">
        <v>236.88800000000001</v>
      </c>
      <c r="AQ183" s="21">
        <v>200.43299999999999</v>
      </c>
      <c r="AR183" s="22">
        <v>2.3099999999999999E-2</v>
      </c>
      <c r="AS183" s="22">
        <v>0.68706685384114596</v>
      </c>
      <c r="AT183" s="20">
        <v>97.5</v>
      </c>
      <c r="AU183" s="20">
        <v>-5</v>
      </c>
    </row>
    <row r="184" spans="1:47" ht="16" customHeight="1" x14ac:dyDescent="0.2">
      <c r="A184" s="18" t="s">
        <v>296</v>
      </c>
      <c r="B184" s="19">
        <v>2840698.1</v>
      </c>
      <c r="C184" s="19">
        <v>1522870.6</v>
      </c>
      <c r="D184" s="19">
        <v>603631.5</v>
      </c>
      <c r="E184" s="19">
        <v>541535.5</v>
      </c>
      <c r="F184" s="19">
        <v>1210960.2</v>
      </c>
      <c r="G184" s="19">
        <v>1055012.8</v>
      </c>
      <c r="H184" s="19">
        <v>1086519.3</v>
      </c>
      <c r="I184" s="20">
        <v>80.5</v>
      </c>
      <c r="J184" s="21">
        <v>92.712999999999994</v>
      </c>
      <c r="K184" s="21">
        <v>94.322999999999993</v>
      </c>
      <c r="L184" s="21">
        <v>91.082999999999998</v>
      </c>
      <c r="M184" s="21">
        <v>92.54</v>
      </c>
      <c r="N184" s="21">
        <v>98.02</v>
      </c>
      <c r="O184" s="21">
        <v>99.968000000000004</v>
      </c>
      <c r="P184" s="21">
        <v>99.03</v>
      </c>
      <c r="Q184" s="21">
        <v>134.09</v>
      </c>
      <c r="R184" s="21">
        <v>53.9166666666667</v>
      </c>
      <c r="S184" s="21">
        <v>113.88624666666701</v>
      </c>
      <c r="T184" s="22">
        <v>98.48</v>
      </c>
      <c r="U184" s="19">
        <v>1248151.1000000001</v>
      </c>
      <c r="V184" s="19">
        <v>172024.28410372001</v>
      </c>
      <c r="W184" s="19">
        <v>152585.54</v>
      </c>
      <c r="X184" s="19">
        <v>129330.46</v>
      </c>
      <c r="Y184" s="21">
        <v>11.3</v>
      </c>
      <c r="Z184" s="19">
        <v>60029656</v>
      </c>
      <c r="AA184" s="22">
        <v>0.439381819560481</v>
      </c>
      <c r="AB184" s="22">
        <v>8.1800090624576907</v>
      </c>
      <c r="AC184" s="20">
        <v>18.617085865410299</v>
      </c>
      <c r="AD184" s="20">
        <v>47.321578854291602</v>
      </c>
      <c r="AE184" s="20">
        <v>0.94123198481980996</v>
      </c>
      <c r="AF184" s="20">
        <v>0.88802060207796796</v>
      </c>
      <c r="AG184" s="20">
        <v>4.6016161616161601E-2</v>
      </c>
      <c r="AH184" s="20">
        <v>1.1417279626686301</v>
      </c>
      <c r="AI184" s="21">
        <f t="shared" si="2"/>
        <v>1.0957118010524685</v>
      </c>
      <c r="AJ184" s="21">
        <v>6151855</v>
      </c>
      <c r="AK184" s="21">
        <v>9815782</v>
      </c>
      <c r="AL184" s="21">
        <v>10475465</v>
      </c>
      <c r="AM184" s="20">
        <v>2063.4549000000002</v>
      </c>
      <c r="AN184" s="19">
        <v>11741009.974077299</v>
      </c>
      <c r="AO184" s="21">
        <v>18666.620999999999</v>
      </c>
      <c r="AP184" s="21">
        <v>235.35499999999999</v>
      </c>
      <c r="AQ184" s="21">
        <v>191.53299999999999</v>
      </c>
      <c r="AR184" s="22">
        <v>8.7400000000000005E-2</v>
      </c>
      <c r="AS184" s="22">
        <v>0.95879285176595097</v>
      </c>
      <c r="AT184" s="20">
        <v>99.4</v>
      </c>
      <c r="AU184" s="20">
        <v>-3.8</v>
      </c>
    </row>
    <row r="185" spans="1:47" ht="16" customHeight="1" x14ac:dyDescent="0.2">
      <c r="A185" s="18" t="s">
        <v>297</v>
      </c>
      <c r="B185" s="19">
        <v>2852729.4</v>
      </c>
      <c r="C185" s="19">
        <v>1530792.7</v>
      </c>
      <c r="D185" s="19">
        <v>605863.1</v>
      </c>
      <c r="E185" s="19">
        <v>584667.5</v>
      </c>
      <c r="F185" s="19">
        <v>1219704.5</v>
      </c>
      <c r="G185" s="19">
        <v>1097094.2</v>
      </c>
      <c r="H185" s="19">
        <v>1092503.3</v>
      </c>
      <c r="I185" s="20">
        <v>81.099999999999994</v>
      </c>
      <c r="J185" s="21">
        <v>93.108000000000004</v>
      </c>
      <c r="K185" s="21">
        <v>94.94</v>
      </c>
      <c r="L185" s="21">
        <v>91.293999999999997</v>
      </c>
      <c r="M185" s="21">
        <v>92.81</v>
      </c>
      <c r="N185" s="21">
        <v>98.983999999999995</v>
      </c>
      <c r="O185" s="21">
        <v>100.929</v>
      </c>
      <c r="P185" s="21">
        <v>100.62</v>
      </c>
      <c r="Q185" s="21">
        <v>139.34</v>
      </c>
      <c r="R185" s="21">
        <v>61.6933333333333</v>
      </c>
      <c r="S185" s="21">
        <v>110.224200333333</v>
      </c>
      <c r="T185" s="22">
        <v>99.76</v>
      </c>
      <c r="U185" s="19">
        <v>1259524.8999999999</v>
      </c>
      <c r="V185" s="19">
        <v>172141.271091114</v>
      </c>
      <c r="W185" s="19">
        <v>153033.59</v>
      </c>
      <c r="X185" s="19">
        <v>129866.86</v>
      </c>
      <c r="Y185" s="21">
        <v>11.1</v>
      </c>
      <c r="Z185" s="19">
        <v>60326657</v>
      </c>
      <c r="AA185" s="22">
        <v>0.44151572876137501</v>
      </c>
      <c r="AB185" s="22">
        <v>8.2303819703896401</v>
      </c>
      <c r="AC185" s="20">
        <v>18.641197661245499</v>
      </c>
      <c r="AD185" s="20">
        <v>47.288040509189798</v>
      </c>
      <c r="AE185" s="20">
        <v>0.96131785141614901</v>
      </c>
      <c r="AF185" s="20">
        <v>0.90473174703700399</v>
      </c>
      <c r="AG185" s="20">
        <v>-6.5258373205741701E-3</v>
      </c>
      <c r="AH185" s="20">
        <v>1.2797938522736201</v>
      </c>
      <c r="AI185" s="21">
        <f t="shared" si="2"/>
        <v>1.2863196895941942</v>
      </c>
      <c r="AJ185" s="21">
        <v>6325590</v>
      </c>
      <c r="AK185" s="21">
        <v>9947884</v>
      </c>
      <c r="AL185" s="21">
        <v>10582758</v>
      </c>
      <c r="AM185" s="20">
        <v>2102.0300000000002</v>
      </c>
      <c r="AN185" s="19">
        <v>11811503.625546901</v>
      </c>
      <c r="AO185" s="21">
        <v>18782.242999999999</v>
      </c>
      <c r="AP185" s="21">
        <v>236.96</v>
      </c>
      <c r="AQ185" s="21">
        <v>193.03299999999999</v>
      </c>
      <c r="AR185" s="22">
        <v>0.1203</v>
      </c>
      <c r="AS185" s="22">
        <v>0.78672086079915404</v>
      </c>
      <c r="AT185" s="20">
        <v>103.3</v>
      </c>
      <c r="AU185" s="20">
        <v>-1.2</v>
      </c>
    </row>
    <row r="186" spans="1:47" ht="16" customHeight="1" x14ac:dyDescent="0.2">
      <c r="A186" s="18" t="s">
        <v>298</v>
      </c>
      <c r="B186" s="19">
        <v>2864955.9</v>
      </c>
      <c r="C186" s="19">
        <v>1536523.9</v>
      </c>
      <c r="D186" s="19">
        <v>608618.1</v>
      </c>
      <c r="E186" s="19">
        <v>555096.5</v>
      </c>
      <c r="F186" s="19">
        <v>1224747.8999999999</v>
      </c>
      <c r="G186" s="19">
        <v>1080770.1000000001</v>
      </c>
      <c r="H186" s="19">
        <v>1102137.3999999999</v>
      </c>
      <c r="I186" s="20">
        <v>81</v>
      </c>
      <c r="J186" s="21">
        <v>93.433000000000007</v>
      </c>
      <c r="K186" s="21">
        <v>94.948999999999998</v>
      </c>
      <c r="L186" s="21">
        <v>91.388999999999996</v>
      </c>
      <c r="M186" s="21">
        <v>93.052999999999997</v>
      </c>
      <c r="N186" s="21">
        <v>98.41</v>
      </c>
      <c r="O186" s="21">
        <v>99.581999999999994</v>
      </c>
      <c r="P186" s="21">
        <v>100.18666666666699</v>
      </c>
      <c r="Q186" s="21">
        <v>122.61</v>
      </c>
      <c r="R186" s="21">
        <v>50.233333333333299</v>
      </c>
      <c r="S186" s="21">
        <v>104.092176666667</v>
      </c>
      <c r="T186" s="22">
        <v>100.7</v>
      </c>
      <c r="U186" s="19">
        <v>1267698.8</v>
      </c>
      <c r="V186" s="19">
        <v>172217.33183856501</v>
      </c>
      <c r="W186" s="19">
        <v>153617.85999999999</v>
      </c>
      <c r="X186" s="19">
        <v>130492.26</v>
      </c>
      <c r="Y186" s="21">
        <v>10.8</v>
      </c>
      <c r="Z186" s="19">
        <v>60507325</v>
      </c>
      <c r="AA186" s="22">
        <v>0.44248457716225198</v>
      </c>
      <c r="AB186" s="22">
        <v>8.2522878524671608</v>
      </c>
      <c r="AC186" s="20">
        <v>18.649888105458601</v>
      </c>
      <c r="AD186" s="20">
        <v>47.348910235248397</v>
      </c>
      <c r="AE186" s="20">
        <v>0.93407602756147001</v>
      </c>
      <c r="AF186" s="20">
        <v>0.89952325267608202</v>
      </c>
      <c r="AG186" s="20">
        <v>-2.7817083882301301E-2</v>
      </c>
      <c r="AH186" s="20">
        <v>1.4657418684280299</v>
      </c>
      <c r="AI186" s="21">
        <f t="shared" si="2"/>
        <v>1.4935589523103312</v>
      </c>
      <c r="AJ186" s="21">
        <v>6459866</v>
      </c>
      <c r="AK186" s="21">
        <v>10060424</v>
      </c>
      <c r="AL186" s="21">
        <v>10694197</v>
      </c>
      <c r="AM186" s="20">
        <v>2026.1374000000001</v>
      </c>
      <c r="AN186" s="19">
        <v>11856672.211561</v>
      </c>
      <c r="AO186" s="21">
        <v>18857.418000000001</v>
      </c>
      <c r="AP186" s="21">
        <v>237.85499999999999</v>
      </c>
      <c r="AQ186" s="21">
        <v>191.63300000000001</v>
      </c>
      <c r="AR186" s="22">
        <v>0.23730000000000001</v>
      </c>
      <c r="AS186" s="22">
        <v>0.91258277893066397</v>
      </c>
      <c r="AT186" s="20">
        <v>103.1</v>
      </c>
      <c r="AU186" s="20">
        <v>-1.2</v>
      </c>
    </row>
    <row r="187" spans="1:47" ht="16" customHeight="1" x14ac:dyDescent="0.2">
      <c r="A187" s="18" t="s">
        <v>299</v>
      </c>
      <c r="B187" s="19">
        <v>2879529.5</v>
      </c>
      <c r="C187" s="19">
        <v>1542380.5</v>
      </c>
      <c r="D187" s="19">
        <v>612820.1</v>
      </c>
      <c r="E187" s="19">
        <v>573172.6</v>
      </c>
      <c r="F187" s="19">
        <v>1235867.7</v>
      </c>
      <c r="G187" s="19">
        <v>1107130.1000000001</v>
      </c>
      <c r="H187" s="19">
        <v>1101135.3999999999</v>
      </c>
      <c r="I187" s="20">
        <v>81.099999999999994</v>
      </c>
      <c r="J187" s="21">
        <v>93.551000000000002</v>
      </c>
      <c r="K187" s="21">
        <v>94.95</v>
      </c>
      <c r="L187" s="21">
        <v>91.405000000000001</v>
      </c>
      <c r="M187" s="21">
        <v>93.605000000000004</v>
      </c>
      <c r="N187" s="21">
        <v>97.721000000000004</v>
      </c>
      <c r="O187" s="21">
        <v>98.376000000000005</v>
      </c>
      <c r="P187" s="21">
        <v>100.163333333333</v>
      </c>
      <c r="Q187" s="21">
        <v>110.19</v>
      </c>
      <c r="R187" s="21">
        <v>43.57</v>
      </c>
      <c r="S187" s="21">
        <v>99.405777</v>
      </c>
      <c r="T187" s="22">
        <v>101.06</v>
      </c>
      <c r="U187" s="19">
        <v>1278248.8</v>
      </c>
      <c r="V187" s="19">
        <v>172617.536394177</v>
      </c>
      <c r="W187" s="19">
        <v>154147.46</v>
      </c>
      <c r="X187" s="19">
        <v>131065.86</v>
      </c>
      <c r="Y187" s="21">
        <v>10.7</v>
      </c>
      <c r="Z187" s="19">
        <v>60670255</v>
      </c>
      <c r="AA187" s="22">
        <v>0.44390890942426497</v>
      </c>
      <c r="AB187" s="22">
        <v>8.2923766632288292</v>
      </c>
      <c r="AC187" s="20">
        <v>18.680356458679199</v>
      </c>
      <c r="AD187" s="20">
        <v>47.461964681045103</v>
      </c>
      <c r="AE187" s="20">
        <v>0.93362661657448698</v>
      </c>
      <c r="AF187" s="20">
        <v>0.91299187437231799</v>
      </c>
      <c r="AG187" s="20">
        <v>-8.91760461760462E-2</v>
      </c>
      <c r="AH187" s="20">
        <v>1.1826365742434199</v>
      </c>
      <c r="AI187" s="21">
        <f t="shared" si="2"/>
        <v>1.2718126204194662</v>
      </c>
      <c r="AJ187" s="21">
        <v>6612393</v>
      </c>
      <c r="AK187" s="21">
        <v>10217313</v>
      </c>
      <c r="AL187" s="21">
        <v>10842557</v>
      </c>
      <c r="AM187" s="20">
        <v>2053.1696000000002</v>
      </c>
      <c r="AN187" s="19">
        <v>11874052.3274686</v>
      </c>
      <c r="AO187" s="21">
        <v>18892.205999999998</v>
      </c>
      <c r="AP187" s="21">
        <v>237.83699999999999</v>
      </c>
      <c r="AQ187" s="21">
        <v>185.56700000000001</v>
      </c>
      <c r="AR187" s="22">
        <v>0.2215</v>
      </c>
      <c r="AS187" s="22">
        <v>1.13863883972168</v>
      </c>
      <c r="AT187" s="20">
        <v>104.7</v>
      </c>
      <c r="AU187" s="20">
        <v>-1.7</v>
      </c>
    </row>
    <row r="188" spans="1:47" ht="16" customHeight="1" x14ac:dyDescent="0.2">
      <c r="A188" s="18" t="s">
        <v>300</v>
      </c>
      <c r="B188" s="19">
        <v>2892964.7</v>
      </c>
      <c r="C188" s="19">
        <v>1551837.4</v>
      </c>
      <c r="D188" s="19">
        <v>616408.9</v>
      </c>
      <c r="E188" s="19">
        <v>575338</v>
      </c>
      <c r="F188" s="19">
        <v>1243134.8999999999</v>
      </c>
      <c r="G188" s="19">
        <v>1112246</v>
      </c>
      <c r="H188" s="19">
        <v>1116453.1000000001</v>
      </c>
      <c r="I188" s="20">
        <v>81.2</v>
      </c>
      <c r="J188" s="21">
        <v>93.792000000000002</v>
      </c>
      <c r="K188" s="21">
        <v>94.855999999999995</v>
      </c>
      <c r="L188" s="21">
        <v>91.397000000000006</v>
      </c>
      <c r="M188" s="21">
        <v>93.400999999999996</v>
      </c>
      <c r="N188" s="21">
        <v>96.533000000000001</v>
      </c>
      <c r="O188" s="21">
        <v>96.491</v>
      </c>
      <c r="P188" s="21">
        <v>99.076666666666696</v>
      </c>
      <c r="Q188" s="21">
        <v>91.67</v>
      </c>
      <c r="R188" s="21">
        <v>33.696666666666701</v>
      </c>
      <c r="S188" s="21">
        <v>98.812666666666701</v>
      </c>
      <c r="T188" s="22">
        <v>101.95</v>
      </c>
      <c r="U188" s="19">
        <v>1287618</v>
      </c>
      <c r="V188" s="19">
        <v>172595.770089286</v>
      </c>
      <c r="W188" s="19">
        <v>154645.81</v>
      </c>
      <c r="X188" s="19">
        <v>131592.24</v>
      </c>
      <c r="Y188" s="21">
        <v>10.4</v>
      </c>
      <c r="Z188" s="19">
        <v>61179028</v>
      </c>
      <c r="AA188" s="22">
        <v>0.44508597011225198</v>
      </c>
      <c r="AB188" s="22">
        <v>8.3262391654840204</v>
      </c>
      <c r="AC188" s="20">
        <v>18.707035774199099</v>
      </c>
      <c r="AD188" s="20">
        <v>47.286869284683597</v>
      </c>
      <c r="AE188" s="20">
        <v>0.91049445008107899</v>
      </c>
      <c r="AF188" s="20">
        <v>0.90744101633393803</v>
      </c>
      <c r="AG188" s="20">
        <v>-0.18608174603174599</v>
      </c>
      <c r="AH188" s="20">
        <v>1.02900894985737</v>
      </c>
      <c r="AI188" s="21">
        <f t="shared" si="2"/>
        <v>1.2150906958891161</v>
      </c>
      <c r="AJ188" s="21">
        <v>6757516</v>
      </c>
      <c r="AK188" s="21">
        <v>10342705</v>
      </c>
      <c r="AL188" s="21">
        <v>10986982</v>
      </c>
      <c r="AM188" s="20">
        <v>1948.3235</v>
      </c>
      <c r="AN188" s="19">
        <v>11945621.6609459</v>
      </c>
      <c r="AO188" s="21">
        <v>19001.689999999999</v>
      </c>
      <c r="AP188" s="21">
        <v>237.68899999999999</v>
      </c>
      <c r="AQ188" s="21">
        <v>182</v>
      </c>
      <c r="AR188" s="22">
        <v>0.27289999999999998</v>
      </c>
      <c r="AS188" s="22">
        <v>0.91756670633951798</v>
      </c>
      <c r="AT188" s="20">
        <v>104.9</v>
      </c>
      <c r="AU188" s="20">
        <v>-2</v>
      </c>
    </row>
    <row r="189" spans="1:47" ht="16" customHeight="1" x14ac:dyDescent="0.2">
      <c r="A189" s="18" t="s">
        <v>301</v>
      </c>
      <c r="B189" s="19">
        <v>2898478.4</v>
      </c>
      <c r="C189" s="19">
        <v>1554988.3</v>
      </c>
      <c r="D189" s="19">
        <v>618260.69999999995</v>
      </c>
      <c r="E189" s="19">
        <v>579481.5</v>
      </c>
      <c r="F189" s="19">
        <v>1253814.5</v>
      </c>
      <c r="G189" s="19">
        <v>1122368.3</v>
      </c>
      <c r="H189" s="19">
        <v>1115064.8</v>
      </c>
      <c r="I189" s="20">
        <v>81.099999999999994</v>
      </c>
      <c r="J189" s="21">
        <v>93.95</v>
      </c>
      <c r="K189" s="21">
        <v>95.153999999999996</v>
      </c>
      <c r="L189" s="21">
        <v>91.647999999999996</v>
      </c>
      <c r="M189" s="21">
        <v>93.340999999999994</v>
      </c>
      <c r="N189" s="21">
        <v>96.567999999999998</v>
      </c>
      <c r="O189" s="21">
        <v>96.525000000000006</v>
      </c>
      <c r="P189" s="21">
        <v>100.503333333333</v>
      </c>
      <c r="Q189" s="21">
        <v>107.37</v>
      </c>
      <c r="R189" s="21">
        <v>45.523333333333298</v>
      </c>
      <c r="S189" s="21">
        <v>105.07205999999999</v>
      </c>
      <c r="T189" s="22">
        <v>103.52</v>
      </c>
      <c r="U189" s="19">
        <v>1294856.5</v>
      </c>
      <c r="V189" s="19">
        <v>172966.113585746</v>
      </c>
      <c r="W189" s="19">
        <v>155323.57</v>
      </c>
      <c r="X189" s="19">
        <v>132173.69</v>
      </c>
      <c r="Y189" s="21">
        <v>10.199999999999999</v>
      </c>
      <c r="Z189" s="19">
        <v>61301651</v>
      </c>
      <c r="AA189" s="22">
        <v>0.44673663947262798</v>
      </c>
      <c r="AB189" s="22">
        <v>8.3365100351479207</v>
      </c>
      <c r="AC189" s="20">
        <v>18.660905102812102</v>
      </c>
      <c r="AD189" s="20">
        <v>47.282224095399997</v>
      </c>
      <c r="AE189" s="20">
        <v>0.90578999077905797</v>
      </c>
      <c r="AF189" s="20">
        <v>0.88558271342543404</v>
      </c>
      <c r="AG189" s="20">
        <v>-0.25809379509379499</v>
      </c>
      <c r="AH189" s="20">
        <v>0.93848714080198303</v>
      </c>
      <c r="AI189" s="21">
        <f t="shared" si="2"/>
        <v>1.196580935895778</v>
      </c>
      <c r="AJ189" s="21">
        <v>6871798</v>
      </c>
      <c r="AK189" s="21">
        <v>10452292</v>
      </c>
      <c r="AL189" s="21">
        <v>11119739</v>
      </c>
      <c r="AM189" s="20">
        <v>2074.9924999999998</v>
      </c>
      <c r="AN189" s="19">
        <v>11978756.315910401</v>
      </c>
      <c r="AO189" s="21">
        <v>19062.708999999999</v>
      </c>
      <c r="AP189" s="21">
        <v>239.59</v>
      </c>
      <c r="AQ189" s="21">
        <v>185.36699999999999</v>
      </c>
      <c r="AR189" s="22">
        <v>0.21029999999999999</v>
      </c>
      <c r="AS189" s="22">
        <v>0.78982569376627598</v>
      </c>
      <c r="AT189" s="20">
        <v>104.2</v>
      </c>
      <c r="AU189" s="20">
        <v>-2.1</v>
      </c>
    </row>
    <row r="190" spans="1:47" ht="16" customHeight="1" x14ac:dyDescent="0.2">
      <c r="A190" s="18" t="s">
        <v>302</v>
      </c>
      <c r="B190" s="19">
        <v>2912643.4</v>
      </c>
      <c r="C190" s="19">
        <v>1561592.4</v>
      </c>
      <c r="D190" s="19">
        <v>620348.80000000005</v>
      </c>
      <c r="E190" s="19">
        <v>586370</v>
      </c>
      <c r="F190" s="19">
        <v>1265647.2</v>
      </c>
      <c r="G190" s="19">
        <v>1134301.6000000001</v>
      </c>
      <c r="H190" s="19">
        <v>1122940.8999999999</v>
      </c>
      <c r="I190" s="20">
        <v>81.3</v>
      </c>
      <c r="J190" s="21">
        <v>94.186999999999998</v>
      </c>
      <c r="K190" s="21">
        <v>95.37</v>
      </c>
      <c r="L190" s="21">
        <v>92.025000000000006</v>
      </c>
      <c r="M190" s="21">
        <v>93.671999999999997</v>
      </c>
      <c r="N190" s="21">
        <v>97.088999999999999</v>
      </c>
      <c r="O190" s="21">
        <v>97.370999999999995</v>
      </c>
      <c r="P190" s="21">
        <v>100.443333333333</v>
      </c>
      <c r="Q190" s="21">
        <v>108.27</v>
      </c>
      <c r="R190" s="21">
        <v>45.786666666666697</v>
      </c>
      <c r="S190" s="21">
        <v>106.08072199999999</v>
      </c>
      <c r="T190" s="22">
        <v>105.11</v>
      </c>
      <c r="U190" s="19">
        <v>1306447.3999999999</v>
      </c>
      <c r="V190" s="19">
        <v>173167.88888888899</v>
      </c>
      <c r="W190" s="19">
        <v>155851.1</v>
      </c>
      <c r="X190" s="19">
        <v>132766.93</v>
      </c>
      <c r="Y190" s="21">
        <v>10</v>
      </c>
      <c r="Z190" s="19">
        <v>61360837</v>
      </c>
      <c r="AA190" s="22">
        <v>0.44854354638813698</v>
      </c>
      <c r="AB190" s="22">
        <v>8.3826639657981197</v>
      </c>
      <c r="AC190" s="20">
        <v>18.688629082502501</v>
      </c>
      <c r="AD190" s="20">
        <v>47.467465282456899</v>
      </c>
      <c r="AE190" s="20">
        <v>0.90550210242496498</v>
      </c>
      <c r="AF190" s="20">
        <v>0.89557585527494199</v>
      </c>
      <c r="AG190" s="20">
        <v>-0.298125854821507</v>
      </c>
      <c r="AH190" s="20">
        <v>0.65492719601937299</v>
      </c>
      <c r="AI190" s="21">
        <f t="shared" si="2"/>
        <v>0.95305305084087999</v>
      </c>
      <c r="AJ190" s="21">
        <v>7005097</v>
      </c>
      <c r="AK190" s="21">
        <v>10569166</v>
      </c>
      <c r="AL190" s="21">
        <v>11240372</v>
      </c>
      <c r="AM190" s="20">
        <v>2161.3584000000001</v>
      </c>
      <c r="AN190" s="19">
        <v>12062271.0765907</v>
      </c>
      <c r="AO190" s="21">
        <v>19197.937999999998</v>
      </c>
      <c r="AP190" s="21">
        <v>240.607</v>
      </c>
      <c r="AQ190" s="21">
        <v>187.06700000000001</v>
      </c>
      <c r="AR190" s="22">
        <v>0.24590000000000001</v>
      </c>
      <c r="AS190" s="22">
        <v>0.88038462320963495</v>
      </c>
      <c r="AT190" s="20">
        <v>104</v>
      </c>
      <c r="AU190" s="20">
        <v>-1.8</v>
      </c>
    </row>
    <row r="191" spans="1:47" ht="16" customHeight="1" x14ac:dyDescent="0.2">
      <c r="A191" s="18" t="s">
        <v>303</v>
      </c>
      <c r="B191" s="19">
        <v>2934809.8</v>
      </c>
      <c r="C191" s="19">
        <v>1572262.9</v>
      </c>
      <c r="D191" s="19">
        <v>624830</v>
      </c>
      <c r="E191" s="19">
        <v>593577.9</v>
      </c>
      <c r="F191" s="19">
        <v>1276822.3999999999</v>
      </c>
      <c r="G191" s="19">
        <v>1153302.3</v>
      </c>
      <c r="H191" s="19">
        <v>1132577.3</v>
      </c>
      <c r="I191" s="20">
        <v>82</v>
      </c>
      <c r="J191" s="21">
        <v>94.266999999999996</v>
      </c>
      <c r="K191" s="21">
        <v>95.724000000000004</v>
      </c>
      <c r="L191" s="21">
        <v>91.988</v>
      </c>
      <c r="M191" s="21">
        <v>94.221000000000004</v>
      </c>
      <c r="N191" s="21">
        <v>97.778000000000006</v>
      </c>
      <c r="O191" s="21">
        <v>98.748000000000005</v>
      </c>
      <c r="P191" s="21">
        <v>100.886666666667</v>
      </c>
      <c r="Q191" s="21">
        <v>122.68</v>
      </c>
      <c r="R191" s="21">
        <v>49.186666666666703</v>
      </c>
      <c r="S191" s="21">
        <v>108.26761500000001</v>
      </c>
      <c r="T191" s="22">
        <v>105.64</v>
      </c>
      <c r="U191" s="19">
        <v>1318282.1000000001</v>
      </c>
      <c r="V191" s="19">
        <v>173375.088691796</v>
      </c>
      <c r="W191" s="19">
        <v>156384.32999999999</v>
      </c>
      <c r="X191" s="19">
        <v>133299.03</v>
      </c>
      <c r="Y191" s="21">
        <v>9.8000000000000007</v>
      </c>
      <c r="Z191" s="19">
        <v>61502605</v>
      </c>
      <c r="AA191" s="22">
        <v>0.44918825744687102</v>
      </c>
      <c r="AB191" s="22">
        <v>8.4297582756533203</v>
      </c>
      <c r="AC191" s="20">
        <v>18.766648806820999</v>
      </c>
      <c r="AD191" s="20">
        <v>47.718463307367202</v>
      </c>
      <c r="AE191" s="20">
        <v>0.91089254413198495</v>
      </c>
      <c r="AF191" s="20">
        <v>0.926869960144592</v>
      </c>
      <c r="AG191" s="20">
        <v>-0.31248124098124103</v>
      </c>
      <c r="AH191" s="20">
        <v>1.0918382834490701</v>
      </c>
      <c r="AI191" s="21">
        <f t="shared" si="2"/>
        <v>1.4043195244303111</v>
      </c>
      <c r="AJ191" s="21">
        <v>7158597</v>
      </c>
      <c r="AK191" s="21">
        <v>10710530</v>
      </c>
      <c r="AL191" s="21">
        <v>11382913</v>
      </c>
      <c r="AM191" s="20">
        <v>2184.8786</v>
      </c>
      <c r="AN191" s="19">
        <v>12128997.219165299</v>
      </c>
      <c r="AO191" s="21">
        <v>19304.351999999999</v>
      </c>
      <c r="AP191" s="21">
        <v>242.13499999999999</v>
      </c>
      <c r="AQ191" s="21">
        <v>187.06700000000001</v>
      </c>
      <c r="AR191" s="22">
        <v>0.1653</v>
      </c>
      <c r="AS191" s="22">
        <v>0.78656440734863298</v>
      </c>
      <c r="AT191" s="20">
        <v>106</v>
      </c>
      <c r="AU191" s="20">
        <v>0.1</v>
      </c>
    </row>
    <row r="192" spans="1:47" ht="16" customHeight="1" x14ac:dyDescent="0.2">
      <c r="A192" s="18" t="s">
        <v>304</v>
      </c>
      <c r="B192" s="19">
        <v>2958391.1</v>
      </c>
      <c r="C192" s="19">
        <v>1579088.1</v>
      </c>
      <c r="D192" s="19">
        <v>623525.69999999995</v>
      </c>
      <c r="E192" s="19">
        <v>587644.9</v>
      </c>
      <c r="F192" s="19">
        <v>1303550.2</v>
      </c>
      <c r="G192" s="19">
        <v>1156806</v>
      </c>
      <c r="H192" s="19">
        <v>1143701</v>
      </c>
      <c r="I192" s="20">
        <v>82.2</v>
      </c>
      <c r="J192" s="21">
        <v>94.637</v>
      </c>
      <c r="K192" s="21">
        <v>96.236000000000004</v>
      </c>
      <c r="L192" s="21">
        <v>92.683999999999997</v>
      </c>
      <c r="M192" s="21">
        <v>94.518000000000001</v>
      </c>
      <c r="N192" s="21">
        <v>99.073999999999998</v>
      </c>
      <c r="O192" s="21">
        <v>100.648</v>
      </c>
      <c r="P192" s="21">
        <v>100.79666666666699</v>
      </c>
      <c r="Q192" s="21">
        <v>128.96</v>
      </c>
      <c r="R192" s="21">
        <v>53.68</v>
      </c>
      <c r="S192" s="21">
        <v>113.32666399999999</v>
      </c>
      <c r="T192" s="22">
        <v>106.43</v>
      </c>
      <c r="U192" s="19">
        <v>1331756.2</v>
      </c>
      <c r="V192" s="19">
        <v>173497.17127071801</v>
      </c>
      <c r="W192" s="19">
        <v>157014.94</v>
      </c>
      <c r="X192" s="19">
        <v>133989.84</v>
      </c>
      <c r="Y192" s="21">
        <v>9.5</v>
      </c>
      <c r="Z192" s="19">
        <v>61814195</v>
      </c>
      <c r="AA192" s="22">
        <v>0.450162319647325</v>
      </c>
      <c r="AB192" s="22">
        <v>8.4817164532241307</v>
      </c>
      <c r="AC192" s="20">
        <v>18.8414624748448</v>
      </c>
      <c r="AD192" s="20">
        <v>47.859413197890902</v>
      </c>
      <c r="AE192" s="20">
        <v>0.91884683497082098</v>
      </c>
      <c r="AF192" s="20">
        <v>0.93914350112697198</v>
      </c>
      <c r="AG192" s="20">
        <v>-0.32783109354413698</v>
      </c>
      <c r="AH192" s="20">
        <v>1.3992216973588201</v>
      </c>
      <c r="AI192" s="21">
        <f t="shared" si="2"/>
        <v>1.7270527909029569</v>
      </c>
      <c r="AJ192" s="21">
        <v>7344648</v>
      </c>
      <c r="AK192" s="21">
        <v>10881654</v>
      </c>
      <c r="AL192" s="21">
        <v>11581144</v>
      </c>
      <c r="AM192" s="20">
        <v>2323.9495999999999</v>
      </c>
      <c r="AN192" s="19">
        <v>12190396.420169501</v>
      </c>
      <c r="AO192" s="21">
        <v>19398.343000000001</v>
      </c>
      <c r="AP192" s="21">
        <v>243.839</v>
      </c>
      <c r="AQ192" s="21">
        <v>191.267</v>
      </c>
      <c r="AR192" s="22">
        <v>9.2399999999999996E-2</v>
      </c>
      <c r="AS192" s="22">
        <v>0.88549438476562503</v>
      </c>
      <c r="AT192" s="20">
        <v>108.3</v>
      </c>
      <c r="AU192" s="20">
        <v>2</v>
      </c>
    </row>
    <row r="193" spans="1:47" ht="16" customHeight="1" x14ac:dyDescent="0.2">
      <c r="A193" s="18" t="s">
        <v>305</v>
      </c>
      <c r="B193" s="19">
        <v>2977917.9</v>
      </c>
      <c r="C193" s="19">
        <v>1587396.7</v>
      </c>
      <c r="D193" s="19">
        <v>625984.1</v>
      </c>
      <c r="E193" s="19">
        <v>634688.6</v>
      </c>
      <c r="F193" s="19">
        <v>1322308.5</v>
      </c>
      <c r="G193" s="19">
        <v>1213698.5</v>
      </c>
      <c r="H193" s="19">
        <v>1158672.2</v>
      </c>
      <c r="I193" s="20">
        <v>82.4</v>
      </c>
      <c r="J193" s="21">
        <v>95.03</v>
      </c>
      <c r="K193" s="21">
        <v>96.546000000000006</v>
      </c>
      <c r="L193" s="21">
        <v>93.150999999999996</v>
      </c>
      <c r="M193" s="21">
        <v>94.918000000000006</v>
      </c>
      <c r="N193" s="21">
        <v>98.97</v>
      </c>
      <c r="O193" s="21">
        <v>99.974000000000004</v>
      </c>
      <c r="P193" s="21">
        <v>102.033333333333</v>
      </c>
      <c r="Q193" s="21">
        <v>116.25</v>
      </c>
      <c r="R193" s="21">
        <v>49.67</v>
      </c>
      <c r="S193" s="21">
        <v>110.018969333333</v>
      </c>
      <c r="T193" s="22">
        <v>108</v>
      </c>
      <c r="U193" s="19">
        <v>1344860.2</v>
      </c>
      <c r="V193" s="19">
        <v>173644.196035242</v>
      </c>
      <c r="W193" s="19">
        <v>157668.93</v>
      </c>
      <c r="X193" s="19">
        <v>134758.71</v>
      </c>
      <c r="Y193" s="21">
        <v>9.1999999999999993</v>
      </c>
      <c r="Z193" s="19">
        <v>62076840</v>
      </c>
      <c r="AA193" s="22">
        <v>0.45161090572711898</v>
      </c>
      <c r="AB193" s="22">
        <v>8.5296462657544492</v>
      </c>
      <c r="AC193" s="20">
        <v>18.8871574126875</v>
      </c>
      <c r="AD193" s="20">
        <v>47.971480184880498</v>
      </c>
      <c r="AE193" s="20">
        <v>0.90596861181147503</v>
      </c>
      <c r="AF193" s="20">
        <v>0.90735867888576305</v>
      </c>
      <c r="AG193" s="20">
        <v>-0.32994781144781099</v>
      </c>
      <c r="AH193" s="20">
        <v>1.1690189718067701</v>
      </c>
      <c r="AI193" s="21">
        <f t="shared" si="2"/>
        <v>1.498966783254581</v>
      </c>
      <c r="AJ193" s="21">
        <v>7488142</v>
      </c>
      <c r="AK193" s="21">
        <v>10988182</v>
      </c>
      <c r="AL193" s="21">
        <v>11652740</v>
      </c>
      <c r="AM193" s="20">
        <v>2396.2136</v>
      </c>
      <c r="AN193" s="19">
        <v>12258910.9933511</v>
      </c>
      <c r="AO193" s="21">
        <v>19506.949000000001</v>
      </c>
      <c r="AP193" s="21">
        <v>244.12</v>
      </c>
      <c r="AQ193" s="21">
        <v>193.13300000000001</v>
      </c>
      <c r="AR193" s="22">
        <v>3.6999999999999998E-2</v>
      </c>
      <c r="AS193" s="22">
        <v>0.92450406392415396</v>
      </c>
      <c r="AT193" s="20">
        <v>109.9</v>
      </c>
      <c r="AU193" s="20">
        <v>3.9</v>
      </c>
    </row>
    <row r="194" spans="1:47" ht="16" customHeight="1" x14ac:dyDescent="0.2">
      <c r="A194" s="18" t="s">
        <v>306</v>
      </c>
      <c r="B194" s="19">
        <v>3000104.5</v>
      </c>
      <c r="C194" s="19">
        <v>1593509.2</v>
      </c>
      <c r="D194" s="19">
        <v>628689.4</v>
      </c>
      <c r="E194" s="19">
        <v>604305</v>
      </c>
      <c r="F194" s="19">
        <v>1338962.6000000001</v>
      </c>
      <c r="G194" s="19">
        <v>1187686.7</v>
      </c>
      <c r="H194" s="19">
        <v>1175690.7</v>
      </c>
      <c r="I194" s="20">
        <v>83.3</v>
      </c>
      <c r="J194" s="21">
        <v>95.241</v>
      </c>
      <c r="K194" s="21">
        <v>96.688000000000002</v>
      </c>
      <c r="L194" s="21">
        <v>93.391999999999996</v>
      </c>
      <c r="M194" s="21">
        <v>95.272999999999996</v>
      </c>
      <c r="N194" s="21">
        <v>98.49</v>
      </c>
      <c r="O194" s="21">
        <v>99.474999999999994</v>
      </c>
      <c r="P194" s="21">
        <v>101.93</v>
      </c>
      <c r="Q194" s="21">
        <v>122.96</v>
      </c>
      <c r="R194" s="21">
        <v>52.11</v>
      </c>
      <c r="S194" s="21">
        <v>113.266678</v>
      </c>
      <c r="T194" s="22">
        <v>109.69</v>
      </c>
      <c r="U194" s="19">
        <v>1356891.8</v>
      </c>
      <c r="V194" s="19">
        <v>174062.68131868099</v>
      </c>
      <c r="W194" s="19">
        <v>158397.04</v>
      </c>
      <c r="X194" s="19">
        <v>135506.44</v>
      </c>
      <c r="Y194" s="21">
        <v>9</v>
      </c>
      <c r="Z194" s="19">
        <v>62299820</v>
      </c>
      <c r="AA194" s="22">
        <v>0.45228151219399199</v>
      </c>
      <c r="AB194" s="22">
        <v>8.5663961902318402</v>
      </c>
      <c r="AC194" s="20">
        <v>18.940407598525798</v>
      </c>
      <c r="AD194" s="20">
        <v>48.155909599738798</v>
      </c>
      <c r="AE194" s="20">
        <v>0.86941930615122898</v>
      </c>
      <c r="AF194" s="20">
        <v>0.85135365230716797</v>
      </c>
      <c r="AG194" s="20">
        <v>-0.32963216011042101</v>
      </c>
      <c r="AH194" s="20">
        <v>1.12230764229774</v>
      </c>
      <c r="AI194" s="21">
        <f t="shared" si="2"/>
        <v>1.4519398024081611</v>
      </c>
      <c r="AJ194" s="21">
        <v>7621867</v>
      </c>
      <c r="AK194" s="21">
        <v>11095402</v>
      </c>
      <c r="AL194" s="21">
        <v>11773187</v>
      </c>
      <c r="AM194" s="20">
        <v>2467.7222000000002</v>
      </c>
      <c r="AN194" s="19">
        <v>12357859.330019601</v>
      </c>
      <c r="AO194" s="21">
        <v>19660.766</v>
      </c>
      <c r="AP194" s="21">
        <v>245.28700000000001</v>
      </c>
      <c r="AQ194" s="21">
        <v>194.03299999999999</v>
      </c>
      <c r="AR194" s="22">
        <v>7.0000000000000001E-3</v>
      </c>
      <c r="AS194" s="22">
        <v>0.96596796671549501</v>
      </c>
      <c r="AT194" s="20">
        <v>111.9</v>
      </c>
      <c r="AU194" s="20">
        <v>6.5</v>
      </c>
    </row>
    <row r="195" spans="1:47" ht="16" customHeight="1" x14ac:dyDescent="0.2">
      <c r="A195" s="18" t="s">
        <v>307</v>
      </c>
      <c r="B195" s="19">
        <v>3024531.5</v>
      </c>
      <c r="C195" s="19">
        <v>1600697.5</v>
      </c>
      <c r="D195" s="19">
        <v>631974.9</v>
      </c>
      <c r="E195" s="19">
        <v>606548.4</v>
      </c>
      <c r="F195" s="19">
        <v>1368406.3</v>
      </c>
      <c r="G195" s="19">
        <v>1211825.7</v>
      </c>
      <c r="H195" s="19">
        <v>1190501.3999999999</v>
      </c>
      <c r="I195" s="20">
        <v>83.7</v>
      </c>
      <c r="J195" s="21">
        <v>95.588999999999999</v>
      </c>
      <c r="K195" s="21">
        <v>97.034000000000006</v>
      </c>
      <c r="L195" s="21">
        <v>93.835999999999999</v>
      </c>
      <c r="M195" s="21">
        <v>95.831999999999994</v>
      </c>
      <c r="N195" s="21">
        <v>98.918000000000006</v>
      </c>
      <c r="O195" s="21">
        <v>100.256</v>
      </c>
      <c r="P195" s="21">
        <v>102.316666666667</v>
      </c>
      <c r="Q195" s="21">
        <v>143.29</v>
      </c>
      <c r="R195" s="21">
        <v>61.53</v>
      </c>
      <c r="S195" s="21">
        <v>113.72114133333299</v>
      </c>
      <c r="T195" s="22">
        <v>110.6</v>
      </c>
      <c r="U195" s="19">
        <v>1372188.2</v>
      </c>
      <c r="V195" s="19">
        <v>174271.063596491</v>
      </c>
      <c r="W195" s="19">
        <v>158935.21</v>
      </c>
      <c r="X195" s="19">
        <v>136041.85999999999</v>
      </c>
      <c r="Y195" s="21">
        <v>8.8000000000000007</v>
      </c>
      <c r="Z195" s="19">
        <v>62599947</v>
      </c>
      <c r="AA195" s="22">
        <v>0.45368619900305202</v>
      </c>
      <c r="AB195" s="22">
        <v>8.6336325349178509</v>
      </c>
      <c r="AC195" s="20">
        <v>19.0299651033902</v>
      </c>
      <c r="AD195" s="20">
        <v>48.315240586385798</v>
      </c>
      <c r="AE195" s="20">
        <v>0.86492071848387497</v>
      </c>
      <c r="AF195" s="20">
        <v>0.84932903006624805</v>
      </c>
      <c r="AG195" s="20">
        <v>-0.328813397129187</v>
      </c>
      <c r="AH195" s="20">
        <v>0.99238736196486499</v>
      </c>
      <c r="AI195" s="21">
        <f t="shared" si="2"/>
        <v>1.321200759094052</v>
      </c>
      <c r="AJ195" s="21">
        <v>7749170</v>
      </c>
      <c r="AK195" s="21">
        <v>11208278</v>
      </c>
      <c r="AL195" s="21">
        <v>11858924</v>
      </c>
      <c r="AM195" s="20">
        <v>2604.9812000000002</v>
      </c>
      <c r="AN195" s="19">
        <v>12494090.070969099</v>
      </c>
      <c r="AO195" s="21">
        <v>19882.351999999999</v>
      </c>
      <c r="AP195" s="21">
        <v>247.238</v>
      </c>
      <c r="AQ195" s="21">
        <v>195.7</v>
      </c>
      <c r="AR195" s="22">
        <v>4.7999999999999996E-3</v>
      </c>
      <c r="AS195" s="22">
        <v>0.67566502888997404</v>
      </c>
      <c r="AT195" s="20">
        <v>114.4</v>
      </c>
      <c r="AU195" s="20">
        <v>8.9</v>
      </c>
    </row>
    <row r="196" spans="1:47" ht="16" customHeight="1" x14ac:dyDescent="0.2">
      <c r="A196" s="18" t="s">
        <v>308</v>
      </c>
      <c r="B196" s="19">
        <v>3025579.8</v>
      </c>
      <c r="C196" s="19">
        <v>1607461.7</v>
      </c>
      <c r="D196" s="19">
        <v>631042.5</v>
      </c>
      <c r="E196" s="19">
        <v>611364.80000000005</v>
      </c>
      <c r="F196" s="19">
        <v>1366584.9</v>
      </c>
      <c r="G196" s="19">
        <v>1213629.7</v>
      </c>
      <c r="H196" s="19">
        <v>1185319.6000000001</v>
      </c>
      <c r="I196" s="20">
        <v>84</v>
      </c>
      <c r="J196" s="21">
        <v>96.022000000000006</v>
      </c>
      <c r="K196" s="21">
        <v>97.55</v>
      </c>
      <c r="L196" s="21">
        <v>94.266999999999996</v>
      </c>
      <c r="M196" s="21">
        <v>95.980999999999995</v>
      </c>
      <c r="N196" s="21">
        <v>99.426000000000002</v>
      </c>
      <c r="O196" s="21">
        <v>101.081</v>
      </c>
      <c r="P196" s="21">
        <v>102.073333333333</v>
      </c>
      <c r="Q196" s="21">
        <v>151.25</v>
      </c>
      <c r="R196" s="21">
        <v>66.8066666666667</v>
      </c>
      <c r="S196" s="21">
        <v>119.511018666667</v>
      </c>
      <c r="T196" s="22">
        <v>111.7</v>
      </c>
      <c r="U196" s="19">
        <v>1384219.7</v>
      </c>
      <c r="V196" s="19">
        <v>174713.085339168</v>
      </c>
      <c r="W196" s="19">
        <v>159687.76</v>
      </c>
      <c r="X196" s="19">
        <v>136805.85999999999</v>
      </c>
      <c r="Y196" s="21">
        <v>8.6</v>
      </c>
      <c r="Z196" s="19">
        <v>62626589</v>
      </c>
      <c r="AA196" s="22">
        <v>0.45750559942263003</v>
      </c>
      <c r="AB196" s="22">
        <v>8.6682892915524601</v>
      </c>
      <c r="AC196" s="20">
        <v>18.9468485248963</v>
      </c>
      <c r="AD196" s="20">
        <v>48.311425678955601</v>
      </c>
      <c r="AE196" s="20">
        <v>0.852480519399331</v>
      </c>
      <c r="AF196" s="20">
        <v>0.81353726000650795</v>
      </c>
      <c r="AG196" s="20">
        <v>-0.32828643578643601</v>
      </c>
      <c r="AH196" s="20">
        <v>1.1563302845623999</v>
      </c>
      <c r="AI196" s="21">
        <f t="shared" ref="AI196:AI259" si="3">AH196-AG196</f>
        <v>1.4846167203488361</v>
      </c>
      <c r="AJ196" s="21">
        <v>7860032</v>
      </c>
      <c r="AK196" s="21">
        <v>11291178</v>
      </c>
      <c r="AL196" s="21">
        <v>11947415</v>
      </c>
      <c r="AM196" s="20">
        <v>2732.5776000000001</v>
      </c>
      <c r="AN196" s="19">
        <v>12594404.193960501</v>
      </c>
      <c r="AO196" s="21">
        <v>20044.077000000001</v>
      </c>
      <c r="AP196" s="21">
        <v>249.322</v>
      </c>
      <c r="AQ196" s="21">
        <v>198.833</v>
      </c>
      <c r="AR196" s="22">
        <v>1.46E-2</v>
      </c>
      <c r="AS196" s="22">
        <v>0.67897103627522803</v>
      </c>
      <c r="AT196" s="20">
        <v>115.3</v>
      </c>
      <c r="AU196" s="20">
        <v>9.6999999999999993</v>
      </c>
    </row>
    <row r="197" spans="1:47" ht="16" customHeight="1" x14ac:dyDescent="0.2">
      <c r="A197" s="18" t="s">
        <v>309</v>
      </c>
      <c r="B197" s="19">
        <v>3040978</v>
      </c>
      <c r="C197" s="19">
        <v>1612197.4</v>
      </c>
      <c r="D197" s="19">
        <v>633670.40000000002</v>
      </c>
      <c r="E197" s="19">
        <v>622391</v>
      </c>
      <c r="F197" s="19">
        <v>1375047.2</v>
      </c>
      <c r="G197" s="19">
        <v>1229254.2</v>
      </c>
      <c r="H197" s="19">
        <v>1187053.7</v>
      </c>
      <c r="I197" s="20">
        <v>83.6</v>
      </c>
      <c r="J197" s="21">
        <v>96.275000000000006</v>
      </c>
      <c r="K197" s="21">
        <v>97.997</v>
      </c>
      <c r="L197" s="21">
        <v>94.590999999999994</v>
      </c>
      <c r="M197" s="21">
        <v>96.561999999999998</v>
      </c>
      <c r="N197" s="21">
        <v>100.19</v>
      </c>
      <c r="O197" s="21">
        <v>101.798</v>
      </c>
      <c r="P197" s="21">
        <v>103.786666666667</v>
      </c>
      <c r="Q197" s="21">
        <v>161.53</v>
      </c>
      <c r="R197" s="21">
        <v>74.5</v>
      </c>
      <c r="S197" s="21">
        <v>121.7713</v>
      </c>
      <c r="T197" s="22">
        <v>113.33</v>
      </c>
      <c r="U197" s="19">
        <v>1400456.1</v>
      </c>
      <c r="V197" s="19">
        <v>175188.07860261999</v>
      </c>
      <c r="W197" s="19">
        <v>160472.28</v>
      </c>
      <c r="X197" s="19">
        <v>137522.71</v>
      </c>
      <c r="Y197" s="21">
        <v>8.4</v>
      </c>
      <c r="Z197" s="19">
        <v>63187360</v>
      </c>
      <c r="AA197" s="22">
        <v>0.46052819191720601</v>
      </c>
      <c r="AB197" s="22">
        <v>8.7270904358061099</v>
      </c>
      <c r="AC197" s="20">
        <v>18.950176317056101</v>
      </c>
      <c r="AD197" s="20">
        <v>48.126365779484999</v>
      </c>
      <c r="AE197" s="20">
        <v>0.85669223702618202</v>
      </c>
      <c r="AF197" s="20">
        <v>0.839278220730172</v>
      </c>
      <c r="AG197" s="20">
        <v>-0.32524163059163103</v>
      </c>
      <c r="AH197" s="20">
        <v>1.2163592698391601</v>
      </c>
      <c r="AI197" s="21">
        <f t="shared" si="3"/>
        <v>1.5416009004307911</v>
      </c>
      <c r="AJ197" s="21">
        <v>8039727</v>
      </c>
      <c r="AK197" s="21">
        <v>11493439</v>
      </c>
      <c r="AL197" s="21">
        <v>12148975</v>
      </c>
      <c r="AM197" s="20">
        <v>2703.1572000000001</v>
      </c>
      <c r="AN197" s="19">
        <v>12658916.340052599</v>
      </c>
      <c r="AO197" s="21">
        <v>20150.475999999999</v>
      </c>
      <c r="AP197" s="21">
        <v>250.679</v>
      </c>
      <c r="AQ197" s="21">
        <v>202.56700000000001</v>
      </c>
      <c r="AR197" s="22">
        <v>3.0599999999999999E-2</v>
      </c>
      <c r="AS197" s="22">
        <v>0.791242065429687</v>
      </c>
      <c r="AT197" s="20">
        <v>113.4</v>
      </c>
      <c r="AU197" s="20">
        <v>7.8</v>
      </c>
    </row>
    <row r="198" spans="1:47" ht="16" customHeight="1" x14ac:dyDescent="0.2">
      <c r="A198" s="18" t="s">
        <v>310</v>
      </c>
      <c r="B198" s="19">
        <v>3043744.9</v>
      </c>
      <c r="C198" s="19">
        <v>1612678.9</v>
      </c>
      <c r="D198" s="19">
        <v>634055.30000000005</v>
      </c>
      <c r="E198" s="19">
        <v>625340.9</v>
      </c>
      <c r="F198" s="19">
        <v>1378414.6</v>
      </c>
      <c r="G198" s="19">
        <v>1239647.8</v>
      </c>
      <c r="H198" s="19">
        <v>1189335.5</v>
      </c>
      <c r="I198" s="20">
        <v>83.5</v>
      </c>
      <c r="J198" s="21">
        <v>96.772000000000006</v>
      </c>
      <c r="K198" s="21">
        <v>98.525999999999996</v>
      </c>
      <c r="L198" s="21">
        <v>95.177000000000007</v>
      </c>
      <c r="M198" s="21">
        <v>97.320999999999998</v>
      </c>
      <c r="N198" s="21">
        <v>101.307</v>
      </c>
      <c r="O198" s="21">
        <v>103.39</v>
      </c>
      <c r="P198" s="21">
        <v>104.086666666667</v>
      </c>
      <c r="Q198" s="21">
        <v>165.31</v>
      </c>
      <c r="R198" s="21">
        <v>75.223333333333301</v>
      </c>
      <c r="S198" s="21">
        <v>113.828528333333</v>
      </c>
      <c r="T198" s="22">
        <v>115.16</v>
      </c>
      <c r="U198" s="19">
        <v>1415749.3</v>
      </c>
      <c r="V198" s="19">
        <v>174923.10869565199</v>
      </c>
      <c r="W198" s="19">
        <v>160929.26</v>
      </c>
      <c r="X198" s="19">
        <v>137959.28</v>
      </c>
      <c r="Y198" s="21">
        <v>8</v>
      </c>
      <c r="Z198" s="19">
        <v>63365364</v>
      </c>
      <c r="AA198" s="22">
        <v>0.465134019608542</v>
      </c>
      <c r="AB198" s="22">
        <v>8.7973392781399706</v>
      </c>
      <c r="AC198" s="20">
        <v>18.913558044074801</v>
      </c>
      <c r="AD198" s="20">
        <v>48.0348365078436</v>
      </c>
      <c r="AE198" s="20">
        <v>0.84638673271868703</v>
      </c>
      <c r="AF198" s="20">
        <v>0.85991916759824605</v>
      </c>
      <c r="AG198" s="20">
        <v>-0.31952575757575802</v>
      </c>
      <c r="AH198" s="20">
        <v>1.29361102919225</v>
      </c>
      <c r="AI198" s="21">
        <f t="shared" si="3"/>
        <v>1.613136786768008</v>
      </c>
      <c r="AJ198" s="21">
        <v>8147600</v>
      </c>
      <c r="AK198" s="21">
        <v>11560774</v>
      </c>
      <c r="AL198" s="21">
        <v>12192728</v>
      </c>
      <c r="AM198" s="20">
        <v>2850.9881</v>
      </c>
      <c r="AN198" s="19">
        <v>12739402.776772499</v>
      </c>
      <c r="AO198" s="21">
        <v>20276.153999999999</v>
      </c>
      <c r="AP198" s="21">
        <v>251.68600000000001</v>
      </c>
      <c r="AQ198" s="21">
        <v>203.767</v>
      </c>
      <c r="AR198" s="22">
        <v>1.9199999999999998E-2</v>
      </c>
      <c r="AS198" s="22">
        <v>0.64791437784830697</v>
      </c>
      <c r="AT198" s="20">
        <v>111.2</v>
      </c>
      <c r="AU198" s="20">
        <v>5.6</v>
      </c>
    </row>
    <row r="199" spans="1:47" ht="16" customHeight="1" x14ac:dyDescent="0.2">
      <c r="A199" s="18" t="s">
        <v>311</v>
      </c>
      <c r="B199" s="19">
        <v>3060212.7</v>
      </c>
      <c r="C199" s="19">
        <v>1620424.8</v>
      </c>
      <c r="D199" s="19">
        <v>637448.6</v>
      </c>
      <c r="E199" s="19">
        <v>652212.6</v>
      </c>
      <c r="F199" s="19">
        <v>1391125.3</v>
      </c>
      <c r="G199" s="19">
        <v>1271379.1000000001</v>
      </c>
      <c r="H199" s="19">
        <v>1207294.6000000001</v>
      </c>
      <c r="I199" s="20">
        <v>83.5</v>
      </c>
      <c r="J199" s="21">
        <v>97.239000000000004</v>
      </c>
      <c r="K199" s="21">
        <v>98.843000000000004</v>
      </c>
      <c r="L199" s="21">
        <v>95.647000000000006</v>
      </c>
      <c r="M199" s="21">
        <v>98.135999999999996</v>
      </c>
      <c r="N199" s="21">
        <v>101.11799999999999</v>
      </c>
      <c r="O199" s="21">
        <v>103.214</v>
      </c>
      <c r="P199" s="21">
        <v>104.26666666666701</v>
      </c>
      <c r="Q199" s="21">
        <v>155.06</v>
      </c>
      <c r="R199" s="21">
        <v>67.713333333333296</v>
      </c>
      <c r="S199" s="21">
        <v>112.446923333333</v>
      </c>
      <c r="T199" s="22">
        <v>115.93</v>
      </c>
      <c r="U199" s="19">
        <v>1427860.2</v>
      </c>
      <c r="V199" s="19">
        <v>175416.14130434801</v>
      </c>
      <c r="W199" s="19">
        <v>161382.85</v>
      </c>
      <c r="X199" s="19">
        <v>138379.1</v>
      </c>
      <c r="Y199" s="21">
        <v>8</v>
      </c>
      <c r="Z199" s="19">
        <v>63518832</v>
      </c>
      <c r="AA199" s="22">
        <v>0.46658854791367899</v>
      </c>
      <c r="AB199" s="22">
        <v>8.8476576042621602</v>
      </c>
      <c r="AC199" s="20">
        <v>18.962440556725799</v>
      </c>
      <c r="AD199" s="20">
        <v>48.1780379714791</v>
      </c>
      <c r="AE199" s="20">
        <v>0.85313652800733497</v>
      </c>
      <c r="AF199" s="20">
        <v>0.876117049237778</v>
      </c>
      <c r="AG199" s="20">
        <v>-0.315318008459885</v>
      </c>
      <c r="AH199" s="20">
        <v>1.3899108670509299</v>
      </c>
      <c r="AI199" s="21">
        <f t="shared" si="3"/>
        <v>1.7052288755108149</v>
      </c>
      <c r="AJ199" s="21">
        <v>8290550</v>
      </c>
      <c r="AK199" s="21">
        <v>11711034</v>
      </c>
      <c r="AL199" s="21">
        <v>12367971</v>
      </c>
      <c r="AM199" s="20">
        <v>2692.0005999999998</v>
      </c>
      <c r="AN199" s="19">
        <v>12755810.083175</v>
      </c>
      <c r="AO199" s="21">
        <v>20304.874</v>
      </c>
      <c r="AP199" s="21">
        <v>252.71100000000001</v>
      </c>
      <c r="AQ199" s="21">
        <v>202.63300000000001</v>
      </c>
      <c r="AR199" s="22">
        <v>0.1245</v>
      </c>
      <c r="AS199" s="22">
        <v>0.59021530151367196</v>
      </c>
      <c r="AT199" s="20">
        <v>110.7</v>
      </c>
      <c r="AU199" s="20">
        <v>4.4000000000000004</v>
      </c>
    </row>
    <row r="200" spans="1:47" ht="16" customHeight="1" x14ac:dyDescent="0.2">
      <c r="A200" s="18" t="s">
        <v>312</v>
      </c>
      <c r="B200" s="19">
        <v>3081740.3</v>
      </c>
      <c r="C200" s="19">
        <v>1627149.2</v>
      </c>
      <c r="D200" s="19">
        <v>643019.5</v>
      </c>
      <c r="E200" s="19">
        <v>641028.69999999995</v>
      </c>
      <c r="F200" s="19">
        <v>1418769.5</v>
      </c>
      <c r="G200" s="19">
        <v>1267163</v>
      </c>
      <c r="H200" s="19">
        <v>1213525.8999999999</v>
      </c>
      <c r="I200" s="20">
        <v>83.5</v>
      </c>
      <c r="J200" s="21">
        <v>97.576999999999998</v>
      </c>
      <c r="K200" s="21">
        <v>98.792000000000002</v>
      </c>
      <c r="L200" s="21">
        <v>95.896000000000001</v>
      </c>
      <c r="M200" s="21">
        <v>98.194000000000003</v>
      </c>
      <c r="N200" s="21">
        <v>101.059</v>
      </c>
      <c r="O200" s="21">
        <v>102.745</v>
      </c>
      <c r="P200" s="21">
        <v>103.526666666667</v>
      </c>
      <c r="Q200" s="21">
        <v>138.66</v>
      </c>
      <c r="R200" s="21">
        <v>63.17</v>
      </c>
      <c r="S200" s="21">
        <v>113.704938</v>
      </c>
      <c r="T200" s="22">
        <v>116.38</v>
      </c>
      <c r="U200" s="19">
        <v>1440885.4</v>
      </c>
      <c r="V200" s="19">
        <v>175874.54446854701</v>
      </c>
      <c r="W200" s="19">
        <v>162156.32999999999</v>
      </c>
      <c r="X200" s="19">
        <v>139113.82</v>
      </c>
      <c r="Y200" s="21">
        <v>7.8</v>
      </c>
      <c r="Z200" s="19">
        <v>63954970</v>
      </c>
      <c r="AA200" s="22">
        <v>0.46755575088530299</v>
      </c>
      <c r="AB200" s="22">
        <v>8.8857795437279599</v>
      </c>
      <c r="AC200" s="20">
        <v>19.0047486891199</v>
      </c>
      <c r="AD200" s="20">
        <v>48.186095623217398</v>
      </c>
      <c r="AE200" s="20">
        <v>0.86400901334202695</v>
      </c>
      <c r="AF200" s="20">
        <v>0.88043669660151402</v>
      </c>
      <c r="AG200" s="20">
        <v>-0.30854682539682499</v>
      </c>
      <c r="AH200" s="20">
        <v>1.1047974962787299</v>
      </c>
      <c r="AI200" s="21">
        <f t="shared" si="3"/>
        <v>1.413344321675555</v>
      </c>
      <c r="AJ200" s="21">
        <v>8459043</v>
      </c>
      <c r="AK200" s="21">
        <v>11891739</v>
      </c>
      <c r="AL200" s="21">
        <v>12535013</v>
      </c>
      <c r="AM200" s="20">
        <v>2722.0792999999999</v>
      </c>
      <c r="AN200" s="19">
        <v>12836320.4628841</v>
      </c>
      <c r="AO200" s="21">
        <v>20431.641</v>
      </c>
      <c r="AP200" s="21">
        <v>253.386</v>
      </c>
      <c r="AQ200" s="21">
        <v>199.7</v>
      </c>
      <c r="AR200" s="22">
        <v>9.4600000000000004E-2</v>
      </c>
      <c r="AS200" s="22">
        <v>0.68472123463948598</v>
      </c>
      <c r="AT200" s="20">
        <v>107.6</v>
      </c>
      <c r="AU200" s="20">
        <v>0.6</v>
      </c>
    </row>
    <row r="201" spans="1:47" ht="16" customHeight="1" x14ac:dyDescent="0.2">
      <c r="A201" s="18" t="s">
        <v>313</v>
      </c>
      <c r="B201" s="19">
        <v>3092838.7</v>
      </c>
      <c r="C201" s="19">
        <v>1632220.6</v>
      </c>
      <c r="D201" s="19">
        <v>644620.4</v>
      </c>
      <c r="E201" s="19">
        <v>688124.1</v>
      </c>
      <c r="F201" s="19">
        <v>1424023.1</v>
      </c>
      <c r="G201" s="19">
        <v>1312531.8</v>
      </c>
      <c r="H201" s="19">
        <v>1215687.8999999999</v>
      </c>
      <c r="I201" s="20">
        <v>82.5</v>
      </c>
      <c r="J201" s="21">
        <v>97.917000000000002</v>
      </c>
      <c r="K201" s="21">
        <v>99.36</v>
      </c>
      <c r="L201" s="21">
        <v>96.522999999999996</v>
      </c>
      <c r="M201" s="21">
        <v>98.736000000000004</v>
      </c>
      <c r="N201" s="21">
        <v>101.08799999999999</v>
      </c>
      <c r="O201" s="21">
        <v>102.73399999999999</v>
      </c>
      <c r="P201" s="21">
        <v>105.24</v>
      </c>
      <c r="Q201" s="21">
        <v>133.01</v>
      </c>
      <c r="R201" s="21">
        <v>68.923333333333304</v>
      </c>
      <c r="S201" s="21">
        <v>113.430023666667</v>
      </c>
      <c r="T201" s="22">
        <v>118.29</v>
      </c>
      <c r="U201" s="19">
        <v>1456640.8</v>
      </c>
      <c r="V201" s="19">
        <v>176082.62987013001</v>
      </c>
      <c r="W201" s="19">
        <v>162700.35</v>
      </c>
      <c r="X201" s="19">
        <v>139628.60999999999</v>
      </c>
      <c r="Y201" s="21">
        <v>7.6</v>
      </c>
      <c r="Z201" s="19">
        <v>63719305</v>
      </c>
      <c r="AA201" s="22">
        <v>0.47097212020788498</v>
      </c>
      <c r="AB201" s="22">
        <v>8.9529051412612208</v>
      </c>
      <c r="AC201" s="20">
        <v>19.009416390315099</v>
      </c>
      <c r="AD201" s="20">
        <v>48.538487668690003</v>
      </c>
      <c r="AE201" s="20">
        <v>0.86458645244904198</v>
      </c>
      <c r="AF201" s="20">
        <v>0.88991723769689401</v>
      </c>
      <c r="AG201" s="20">
        <v>-0.31707121212121198</v>
      </c>
      <c r="AH201" s="20">
        <v>0.79916608527289001</v>
      </c>
      <c r="AI201" s="21">
        <f t="shared" si="3"/>
        <v>1.1162372973941019</v>
      </c>
      <c r="AJ201" s="21">
        <v>8613766</v>
      </c>
      <c r="AK201" s="21">
        <v>12070935</v>
      </c>
      <c r="AL201" s="21">
        <v>12713460</v>
      </c>
      <c r="AM201" s="20">
        <v>2882.8906000000002</v>
      </c>
      <c r="AN201" s="19">
        <v>12945139.8058728</v>
      </c>
      <c r="AO201" s="21">
        <v>20602.275000000001</v>
      </c>
      <c r="AP201" s="21">
        <v>255.24700000000001</v>
      </c>
      <c r="AQ201" s="21">
        <v>201.36699999999999</v>
      </c>
      <c r="AR201" s="22">
        <v>4.6600000000000003E-2</v>
      </c>
      <c r="AS201" s="22">
        <v>0.69810906728108701</v>
      </c>
      <c r="AT201" s="20">
        <v>104.7</v>
      </c>
      <c r="AU201" s="20">
        <v>-3.9</v>
      </c>
    </row>
    <row r="202" spans="1:47" ht="16" customHeight="1" x14ac:dyDescent="0.2">
      <c r="A202" s="18" t="s">
        <v>314</v>
      </c>
      <c r="B202" s="19">
        <v>3099570.5</v>
      </c>
      <c r="C202" s="19">
        <v>1640705.3</v>
      </c>
      <c r="D202" s="19">
        <v>648240.19999999995</v>
      </c>
      <c r="E202" s="19">
        <v>649395.80000000005</v>
      </c>
      <c r="F202" s="19">
        <v>1425450.3</v>
      </c>
      <c r="G202" s="19">
        <v>1283003.8999999999</v>
      </c>
      <c r="H202" s="19">
        <v>1224750.1000000001</v>
      </c>
      <c r="I202" s="20">
        <v>81.599999999999994</v>
      </c>
      <c r="J202" s="21">
        <v>98.400999999999996</v>
      </c>
      <c r="K202" s="21">
        <v>99.603999999999999</v>
      </c>
      <c r="L202" s="21">
        <v>96.995999999999995</v>
      </c>
      <c r="M202" s="21">
        <v>99.203999999999994</v>
      </c>
      <c r="N202" s="21">
        <v>101.202</v>
      </c>
      <c r="O202" s="21">
        <v>102.188</v>
      </c>
      <c r="P202" s="21">
        <v>105.08</v>
      </c>
      <c r="Q202" s="21">
        <v>119.88</v>
      </c>
      <c r="R202" s="21">
        <v>61.93</v>
      </c>
      <c r="S202" s="21">
        <v>111.753362666667</v>
      </c>
      <c r="T202" s="22">
        <v>119.87</v>
      </c>
      <c r="U202" s="19">
        <v>1468495.2</v>
      </c>
      <c r="V202" s="19">
        <v>176148.983783784</v>
      </c>
      <c r="W202" s="19">
        <v>162937.81</v>
      </c>
      <c r="X202" s="19">
        <v>139896.03</v>
      </c>
      <c r="Y202" s="21">
        <v>7.5</v>
      </c>
      <c r="Z202" s="19">
        <v>63959756</v>
      </c>
      <c r="AA202" s="22">
        <v>0.47377376962388801</v>
      </c>
      <c r="AB202" s="22">
        <v>9.0126116215751306</v>
      </c>
      <c r="AC202" s="20">
        <v>19.023027865662399</v>
      </c>
      <c r="AD202" s="20">
        <v>48.461262109880501</v>
      </c>
      <c r="AE202" s="20">
        <v>0.86485439311437495</v>
      </c>
      <c r="AF202" s="20">
        <v>0.89936145336810902</v>
      </c>
      <c r="AG202" s="20">
        <v>-0.39670760399021299</v>
      </c>
      <c r="AH202" s="20">
        <v>0.168204346226516</v>
      </c>
      <c r="AI202" s="21">
        <f t="shared" si="3"/>
        <v>0.56491195021672902</v>
      </c>
      <c r="AJ202" s="21">
        <v>8821267</v>
      </c>
      <c r="AK202" s="21">
        <v>12279671</v>
      </c>
      <c r="AL202" s="21">
        <v>12921691</v>
      </c>
      <c r="AM202" s="20">
        <v>2958.5893000000001</v>
      </c>
      <c r="AN202" s="19">
        <v>13098718.4289554</v>
      </c>
      <c r="AO202" s="21">
        <v>20843.322</v>
      </c>
      <c r="AP202" s="21">
        <v>256.089</v>
      </c>
      <c r="AQ202" s="21">
        <v>199.43299999999999</v>
      </c>
      <c r="AR202" s="22">
        <v>7.9399999999999998E-2</v>
      </c>
      <c r="AS202" s="22">
        <v>0.787417704264323</v>
      </c>
      <c r="AT202" s="20">
        <v>102.6</v>
      </c>
      <c r="AU202" s="20">
        <v>-6.8</v>
      </c>
    </row>
    <row r="203" spans="1:47" ht="16" customHeight="1" x14ac:dyDescent="0.2">
      <c r="A203" s="18" t="s">
        <v>315</v>
      </c>
      <c r="B203" s="19">
        <v>3096021.8</v>
      </c>
      <c r="C203" s="19">
        <v>1641095</v>
      </c>
      <c r="D203" s="19">
        <v>648064</v>
      </c>
      <c r="E203" s="19">
        <v>712401.8</v>
      </c>
      <c r="F203" s="19">
        <v>1424101.8</v>
      </c>
      <c r="G203" s="19">
        <v>1339606.6000000001</v>
      </c>
      <c r="H203" s="19">
        <v>1233477.3</v>
      </c>
      <c r="I203" s="20">
        <v>81.2</v>
      </c>
      <c r="J203" s="21">
        <v>98.980999999999995</v>
      </c>
      <c r="K203" s="21">
        <v>99.914000000000001</v>
      </c>
      <c r="L203" s="21">
        <v>97.593999999999994</v>
      </c>
      <c r="M203" s="21">
        <v>100.035</v>
      </c>
      <c r="N203" s="21">
        <v>101.67700000000001</v>
      </c>
      <c r="O203" s="21">
        <v>102.818</v>
      </c>
      <c r="P203" s="21">
        <v>105.31333333333301</v>
      </c>
      <c r="Q203" s="21">
        <v>125.01</v>
      </c>
      <c r="R203" s="21">
        <v>63.41</v>
      </c>
      <c r="S203" s="21">
        <v>113.909519</v>
      </c>
      <c r="T203" s="22">
        <v>120.93</v>
      </c>
      <c r="U203" s="19">
        <v>1474630.3</v>
      </c>
      <c r="V203" s="19">
        <v>176467.113513513</v>
      </c>
      <c r="W203" s="19">
        <v>163232.07999999999</v>
      </c>
      <c r="X203" s="19">
        <v>140192.26999999999</v>
      </c>
      <c r="Y203" s="21">
        <v>7.5</v>
      </c>
      <c r="Z203" s="19">
        <v>63893566</v>
      </c>
      <c r="AA203" s="22">
        <v>0.47629842270490502</v>
      </c>
      <c r="AB203" s="22">
        <v>9.0339490864785894</v>
      </c>
      <c r="AC203" s="20">
        <v>18.966993497846701</v>
      </c>
      <c r="AD203" s="20">
        <v>48.455924341427398</v>
      </c>
      <c r="AE203" s="20">
        <v>0.87038034750805804</v>
      </c>
      <c r="AF203" s="20">
        <v>0.90326077138469896</v>
      </c>
      <c r="AG203" s="20">
        <v>-0.40295175983436798</v>
      </c>
      <c r="AH203" s="20">
        <v>0.26629064146095199</v>
      </c>
      <c r="AI203" s="21">
        <f t="shared" si="3"/>
        <v>0.66924240129531998</v>
      </c>
      <c r="AJ203" s="21">
        <v>8951049</v>
      </c>
      <c r="AK203" s="21">
        <v>12377539</v>
      </c>
      <c r="AL203" s="21">
        <v>12981800</v>
      </c>
      <c r="AM203" s="20">
        <v>3087.9229999999998</v>
      </c>
      <c r="AN203" s="19">
        <v>13180136.699995199</v>
      </c>
      <c r="AO203" s="21">
        <v>20985.448</v>
      </c>
      <c r="AP203" s="21">
        <v>257.88799999999998</v>
      </c>
      <c r="AQ203" s="21">
        <v>198.86699999999999</v>
      </c>
      <c r="AR203" s="22">
        <v>4.6699999999999998E-2</v>
      </c>
      <c r="AS203" s="22">
        <v>0.62680067698160802</v>
      </c>
      <c r="AT203" s="20">
        <v>102</v>
      </c>
      <c r="AU203" s="20">
        <v>-7.9</v>
      </c>
    </row>
    <row r="204" spans="1:47" ht="16" customHeight="1" x14ac:dyDescent="0.2">
      <c r="A204" s="18" t="s">
        <v>316</v>
      </c>
      <c r="B204" s="19">
        <v>2993647.4</v>
      </c>
      <c r="C204" s="19">
        <v>1561687.5</v>
      </c>
      <c r="D204" s="19">
        <v>649355.1</v>
      </c>
      <c r="E204" s="19">
        <v>685040.6</v>
      </c>
      <c r="F204" s="19">
        <v>1386451.2</v>
      </c>
      <c r="G204" s="19">
        <v>1308150.2</v>
      </c>
      <c r="H204" s="19">
        <v>1191689.8</v>
      </c>
      <c r="I204" s="20">
        <v>81</v>
      </c>
      <c r="J204" s="21">
        <v>99.442999999999998</v>
      </c>
      <c r="K204" s="21">
        <v>100.173</v>
      </c>
      <c r="L204" s="21">
        <v>98.629000000000005</v>
      </c>
      <c r="M204" s="21">
        <v>99.707999999999998</v>
      </c>
      <c r="N204" s="21">
        <v>100.825</v>
      </c>
      <c r="O204" s="21">
        <v>101.73699999999999</v>
      </c>
      <c r="P204" s="21">
        <v>104.68</v>
      </c>
      <c r="Q204" s="21">
        <v>107.36</v>
      </c>
      <c r="R204" s="21">
        <v>50.44</v>
      </c>
      <c r="S204" s="21">
        <v>113.170101</v>
      </c>
      <c r="T204" s="22">
        <v>122.32</v>
      </c>
      <c r="U204" s="19">
        <v>1459144.8</v>
      </c>
      <c r="V204" s="19">
        <v>175871.46868250499</v>
      </c>
      <c r="W204" s="19">
        <v>162856.98000000001</v>
      </c>
      <c r="X204" s="19">
        <v>139935.67000000001</v>
      </c>
      <c r="Y204" s="21">
        <v>7.4</v>
      </c>
      <c r="Z204" s="19">
        <v>61203853</v>
      </c>
      <c r="AA204" s="22">
        <v>0.48741371478818801</v>
      </c>
      <c r="AB204" s="22">
        <v>8.95967001230159</v>
      </c>
      <c r="AC204" s="20">
        <v>18.382063820660299</v>
      </c>
      <c r="AD204" s="20">
        <v>48.912727765684899</v>
      </c>
      <c r="AE204" s="20">
        <v>0.86859893254981901</v>
      </c>
      <c r="AF204" s="20">
        <v>0.906864967806294</v>
      </c>
      <c r="AG204" s="20">
        <v>-0.40554090909090901</v>
      </c>
      <c r="AH204" s="20">
        <v>0.27358817532266999</v>
      </c>
      <c r="AI204" s="21">
        <f t="shared" si="3"/>
        <v>0.679129084413579</v>
      </c>
      <c r="AJ204" s="21">
        <v>9360114</v>
      </c>
      <c r="AK204" s="21">
        <v>12793133</v>
      </c>
      <c r="AL204" s="21">
        <v>13488513</v>
      </c>
      <c r="AM204" s="20">
        <v>3071.0756000000001</v>
      </c>
      <c r="AN204" s="19">
        <v>13008595.608963899</v>
      </c>
      <c r="AO204" s="21">
        <v>20709.212</v>
      </c>
      <c r="AP204" s="21">
        <v>258.81799999999998</v>
      </c>
      <c r="AQ204" s="21">
        <v>196.36699999999999</v>
      </c>
      <c r="AR204" s="22">
        <v>0.1953</v>
      </c>
      <c r="AS204" s="22">
        <v>0.82647198994954496</v>
      </c>
      <c r="AT204" s="20">
        <v>105.3</v>
      </c>
      <c r="AU204" s="20">
        <v>-5.3</v>
      </c>
    </row>
    <row r="205" spans="1:47" ht="16" customHeight="1" x14ac:dyDescent="0.2">
      <c r="A205" s="18" t="s">
        <v>317</v>
      </c>
      <c r="B205" s="19">
        <v>2662452.2999999998</v>
      </c>
      <c r="C205" s="19">
        <v>1373810.7</v>
      </c>
      <c r="D205" s="19">
        <v>630900.69999999995</v>
      </c>
      <c r="E205" s="19">
        <v>557456</v>
      </c>
      <c r="F205" s="19">
        <v>1122268.7</v>
      </c>
      <c r="G205" s="19">
        <v>1040033.1</v>
      </c>
      <c r="H205" s="19">
        <v>1085133.7</v>
      </c>
      <c r="I205" s="20">
        <v>66.400000000000006</v>
      </c>
      <c r="J205" s="21">
        <v>100.616</v>
      </c>
      <c r="K205" s="21">
        <v>100.08</v>
      </c>
      <c r="L205" s="21">
        <v>102.294</v>
      </c>
      <c r="M205" s="21">
        <v>99.927999999999997</v>
      </c>
      <c r="N205" s="21">
        <v>99.200999999999993</v>
      </c>
      <c r="O205" s="21">
        <v>98.52</v>
      </c>
      <c r="P205" s="21">
        <v>105.473333333333</v>
      </c>
      <c r="Q205" s="21">
        <v>77.83</v>
      </c>
      <c r="R205" s="21">
        <v>29.343333333333302</v>
      </c>
      <c r="S205" s="21">
        <v>108.30433333333301</v>
      </c>
      <c r="T205" s="22">
        <v>124.33</v>
      </c>
      <c r="U205" s="19">
        <v>1354049.8</v>
      </c>
      <c r="V205" s="19">
        <v>171189.859307359</v>
      </c>
      <c r="W205" s="19">
        <v>158179.43</v>
      </c>
      <c r="X205" s="19">
        <v>135495.60999999999</v>
      </c>
      <c r="Y205" s="21">
        <v>7.6</v>
      </c>
      <c r="Z205" s="19">
        <v>52907025</v>
      </c>
      <c r="AA205" s="22">
        <v>0.50857241648986495</v>
      </c>
      <c r="AB205" s="22">
        <v>8.5602141820842306</v>
      </c>
      <c r="AC205" s="20">
        <v>16.831849122227801</v>
      </c>
      <c r="AD205" s="20">
        <v>50.323228342550003</v>
      </c>
      <c r="AE205" s="20">
        <v>0.84829993623612099</v>
      </c>
      <c r="AF205" s="20">
        <v>0.90793535500272404</v>
      </c>
      <c r="AG205" s="20">
        <v>-0.30066666666666703</v>
      </c>
      <c r="AH205" s="20">
        <v>0.461457060991042</v>
      </c>
      <c r="AI205" s="21">
        <f t="shared" si="3"/>
        <v>0.76212372765770908</v>
      </c>
      <c r="AJ205" s="21">
        <v>9736833</v>
      </c>
      <c r="AK205" s="21">
        <v>13220879</v>
      </c>
      <c r="AL205" s="21">
        <v>13908323</v>
      </c>
      <c r="AM205" s="20">
        <v>2929.1723000000002</v>
      </c>
      <c r="AN205" s="19">
        <v>12043092.979862301</v>
      </c>
      <c r="AO205" s="21">
        <v>19077.991999999998</v>
      </c>
      <c r="AP205" s="21">
        <v>256.29199999999997</v>
      </c>
      <c r="AQ205" s="21">
        <v>188.43299999999999</v>
      </c>
      <c r="AR205" s="22">
        <v>0.36320000000000002</v>
      </c>
      <c r="AS205" s="22">
        <v>0.69251436869303395</v>
      </c>
      <c r="AT205" s="20">
        <v>57.6</v>
      </c>
      <c r="AU205" s="20">
        <v>-37.1</v>
      </c>
    </row>
    <row r="206" spans="1:47" ht="16" customHeight="1" x14ac:dyDescent="0.2">
      <c r="A206" s="18" t="s">
        <v>318</v>
      </c>
      <c r="B206" s="19">
        <v>2970837.4</v>
      </c>
      <c r="C206" s="19">
        <v>1566678</v>
      </c>
      <c r="D206" s="19">
        <v>666878</v>
      </c>
      <c r="E206" s="19">
        <v>629820.4</v>
      </c>
      <c r="F206" s="19">
        <v>1299387.5</v>
      </c>
      <c r="G206" s="19">
        <v>1172214.3</v>
      </c>
      <c r="H206" s="19">
        <v>1203024.6000000001</v>
      </c>
      <c r="I206" s="20">
        <v>72.599999999999994</v>
      </c>
      <c r="J206" s="21">
        <v>99.617999999999995</v>
      </c>
      <c r="K206" s="21">
        <v>99.745000000000005</v>
      </c>
      <c r="L206" s="21">
        <v>98.988</v>
      </c>
      <c r="M206" s="21">
        <v>99.972999999999999</v>
      </c>
      <c r="N206" s="21">
        <v>99.478999999999999</v>
      </c>
      <c r="O206" s="21">
        <v>99.433999999999997</v>
      </c>
      <c r="P206" s="21">
        <v>105.043333333333</v>
      </c>
      <c r="Q206" s="21">
        <v>97.55</v>
      </c>
      <c r="R206" s="21">
        <v>42.963333333333303</v>
      </c>
      <c r="S206" s="21">
        <v>119.73042700000001</v>
      </c>
      <c r="T206" s="22">
        <v>126.12</v>
      </c>
      <c r="U206" s="19">
        <v>1450092.6</v>
      </c>
      <c r="V206" s="19">
        <v>175113.077765608</v>
      </c>
      <c r="W206" s="19">
        <v>159878.24</v>
      </c>
      <c r="X206" s="19">
        <v>137194.26999999999</v>
      </c>
      <c r="Y206" s="21">
        <v>8.6999999999999993</v>
      </c>
      <c r="Z206" s="19">
        <v>60384418</v>
      </c>
      <c r="AA206" s="22">
        <v>0.48810904292506901</v>
      </c>
      <c r="AB206" s="22">
        <v>9.0699810055452197</v>
      </c>
      <c r="AC206" s="20">
        <v>18.5818745565375</v>
      </c>
      <c r="AD206" s="20">
        <v>49.198741966843201</v>
      </c>
      <c r="AE206" s="20">
        <v>0.82250347576260496</v>
      </c>
      <c r="AF206" s="20">
        <v>0.85550517580631402</v>
      </c>
      <c r="AG206" s="20">
        <v>-0.47173611895350998</v>
      </c>
      <c r="AH206" s="20">
        <v>0.168140311468707</v>
      </c>
      <c r="AI206" s="21">
        <f t="shared" si="3"/>
        <v>0.63987643042221698</v>
      </c>
      <c r="AJ206" s="21">
        <v>9944815</v>
      </c>
      <c r="AK206" s="21">
        <v>13448249</v>
      </c>
      <c r="AL206" s="21">
        <v>14152539</v>
      </c>
      <c r="AM206" s="20">
        <v>3321.6152999999999</v>
      </c>
      <c r="AN206" s="19">
        <v>12940267.373356899</v>
      </c>
      <c r="AO206" s="21">
        <v>20558.879000000001</v>
      </c>
      <c r="AP206" s="21">
        <v>259.22199999999998</v>
      </c>
      <c r="AQ206" s="21">
        <v>194.267</v>
      </c>
      <c r="AR206" s="22">
        <v>0.13039999999999999</v>
      </c>
      <c r="AS206" s="22">
        <v>0.58926405588785802</v>
      </c>
      <c r="AT206" s="20">
        <v>83.1</v>
      </c>
      <c r="AU206" s="20">
        <v>-14.7</v>
      </c>
    </row>
    <row r="207" spans="1:47" ht="16" customHeight="1" x14ac:dyDescent="0.2">
      <c r="A207" s="18" t="s">
        <v>319</v>
      </c>
      <c r="B207" s="19">
        <v>2980307.5</v>
      </c>
      <c r="C207" s="19">
        <v>1521823.3</v>
      </c>
      <c r="D207" s="19">
        <v>668338.9</v>
      </c>
      <c r="E207" s="19">
        <v>657585.30000000005</v>
      </c>
      <c r="F207" s="19">
        <v>1370695.4</v>
      </c>
      <c r="G207" s="19">
        <v>1243267</v>
      </c>
      <c r="H207" s="19">
        <v>1232893.2</v>
      </c>
      <c r="I207" s="20">
        <v>78</v>
      </c>
      <c r="J207" s="21">
        <v>100.39</v>
      </c>
      <c r="K207" s="21">
        <v>100.01300000000001</v>
      </c>
      <c r="L207" s="21">
        <v>100.176</v>
      </c>
      <c r="M207" s="21">
        <v>100.39</v>
      </c>
      <c r="N207" s="21">
        <v>100.31399999999999</v>
      </c>
      <c r="O207" s="21">
        <v>99.944000000000003</v>
      </c>
      <c r="P207" s="21">
        <v>105.02</v>
      </c>
      <c r="Q207" s="21">
        <v>117.04</v>
      </c>
      <c r="R207" s="21">
        <v>44.29</v>
      </c>
      <c r="S207" s="21">
        <v>127.735732</v>
      </c>
      <c r="T207" s="22">
        <v>128.11000000000001</v>
      </c>
      <c r="U207" s="19">
        <v>1466614.2</v>
      </c>
      <c r="V207" s="19">
        <v>175152.44008714601</v>
      </c>
      <c r="W207" s="19">
        <v>160789.94</v>
      </c>
      <c r="X207" s="19">
        <v>137914.62</v>
      </c>
      <c r="Y207" s="21">
        <v>8.1999999999999993</v>
      </c>
      <c r="Z207" s="19">
        <v>60061578</v>
      </c>
      <c r="AA207" s="22">
        <v>0.49210163716327898</v>
      </c>
      <c r="AB207" s="22">
        <v>9.1213057234799599</v>
      </c>
      <c r="AC207" s="20">
        <v>18.535410237730002</v>
      </c>
      <c r="AD207" s="20">
        <v>49.620865772124702</v>
      </c>
      <c r="AE207" s="20">
        <v>0.81906588811723802</v>
      </c>
      <c r="AF207" s="20">
        <v>0.83829323497359398</v>
      </c>
      <c r="AG207" s="20">
        <v>-0.52269480519480505</v>
      </c>
      <c r="AH207" s="20">
        <v>-4.88545139007256E-2</v>
      </c>
      <c r="AI207" s="21">
        <f t="shared" si="3"/>
        <v>0.47384029129407945</v>
      </c>
      <c r="AJ207" s="21">
        <v>10273062</v>
      </c>
      <c r="AK207" s="21">
        <v>13742922</v>
      </c>
      <c r="AL207" s="21">
        <v>14477108</v>
      </c>
      <c r="AM207" s="20">
        <v>3554.3346000000001</v>
      </c>
      <c r="AN207" s="19">
        <v>13084860.1818469</v>
      </c>
      <c r="AO207" s="21">
        <v>20791.917000000001</v>
      </c>
      <c r="AP207" s="21">
        <v>261.09199999999998</v>
      </c>
      <c r="AQ207" s="21">
        <v>198.43299999999999</v>
      </c>
      <c r="AR207" s="22">
        <v>7.1800000000000003E-2</v>
      </c>
      <c r="AS207" s="22">
        <v>0.53794629414876305</v>
      </c>
      <c r="AT207" s="20">
        <v>95.3</v>
      </c>
      <c r="AU207" s="20">
        <v>-5.7</v>
      </c>
    </row>
    <row r="208" spans="1:47" ht="16" customHeight="1" x14ac:dyDescent="0.2">
      <c r="A208" s="18" t="s">
        <v>320</v>
      </c>
      <c r="B208" s="19">
        <v>3003764.9</v>
      </c>
      <c r="C208" s="19">
        <v>1499354.1</v>
      </c>
      <c r="D208" s="19">
        <v>671755.3</v>
      </c>
      <c r="E208" s="19">
        <v>645993.6</v>
      </c>
      <c r="F208" s="19">
        <v>1393467.2</v>
      </c>
      <c r="G208" s="19">
        <v>1244051.7</v>
      </c>
      <c r="H208" s="19">
        <v>1271285.5</v>
      </c>
      <c r="I208" s="20">
        <v>79.599999999999994</v>
      </c>
      <c r="J208" s="21">
        <v>100.899</v>
      </c>
      <c r="K208" s="21">
        <v>101.3</v>
      </c>
      <c r="L208" s="21">
        <v>101.021</v>
      </c>
      <c r="M208" s="21">
        <v>101.242</v>
      </c>
      <c r="N208" s="21">
        <v>102.045</v>
      </c>
      <c r="O208" s="21">
        <v>102.69199999999999</v>
      </c>
      <c r="P208" s="21">
        <v>105.786666666667</v>
      </c>
      <c r="Q208" s="21">
        <v>148.69</v>
      </c>
      <c r="R208" s="21">
        <v>60.82</v>
      </c>
      <c r="S208" s="21">
        <v>146.21854400000001</v>
      </c>
      <c r="T208" s="22">
        <v>129.88</v>
      </c>
      <c r="U208" s="19">
        <v>1469022.7</v>
      </c>
      <c r="V208" s="19">
        <v>175253.38058887699</v>
      </c>
      <c r="W208" s="19">
        <v>160707.35</v>
      </c>
      <c r="X208" s="19">
        <v>137947.79</v>
      </c>
      <c r="Y208" s="21">
        <v>8.3000000000000007</v>
      </c>
      <c r="Z208" s="19">
        <v>60139255</v>
      </c>
      <c r="AA208" s="22">
        <v>0.48906047873453701</v>
      </c>
      <c r="AB208" s="22">
        <v>9.1409801729665805</v>
      </c>
      <c r="AC208" s="20">
        <v>18.690899327255401</v>
      </c>
      <c r="AD208" s="20">
        <v>49.946825912625599</v>
      </c>
      <c r="AE208" s="20">
        <v>0.82280395680937501</v>
      </c>
      <c r="AF208" s="20">
        <v>0.830013280212483</v>
      </c>
      <c r="AG208" s="20">
        <v>-0.54244565217391305</v>
      </c>
      <c r="AH208" s="20">
        <v>4.91029489898012E-2</v>
      </c>
      <c r="AI208" s="21">
        <f t="shared" si="3"/>
        <v>0.59154860116371422</v>
      </c>
      <c r="AJ208" s="21">
        <v>10563963</v>
      </c>
      <c r="AK208" s="21">
        <v>14019911</v>
      </c>
      <c r="AL208" s="21">
        <v>14761227</v>
      </c>
      <c r="AM208" s="20">
        <v>3862.5628999999999</v>
      </c>
      <c r="AN208" s="19">
        <v>13280365.1983875</v>
      </c>
      <c r="AO208" s="21">
        <v>21082.133999999998</v>
      </c>
      <c r="AP208" s="21">
        <v>263.74200000000002</v>
      </c>
      <c r="AQ208" s="21">
        <v>210.13300000000001</v>
      </c>
      <c r="AR208" s="22">
        <v>1.32E-2</v>
      </c>
      <c r="AS208" s="22">
        <v>0.55939167022705105</v>
      </c>
      <c r="AT208" s="20">
        <v>96.2</v>
      </c>
      <c r="AU208" s="20">
        <v>-2.5</v>
      </c>
    </row>
    <row r="209" spans="1:47" ht="16" customHeight="1" x14ac:dyDescent="0.2">
      <c r="A209" s="18" t="s">
        <v>321</v>
      </c>
      <c r="B209" s="19">
        <v>3068638.3</v>
      </c>
      <c r="C209" s="19">
        <v>1557133.8</v>
      </c>
      <c r="D209" s="19">
        <v>681813</v>
      </c>
      <c r="E209" s="19">
        <v>656885.69999999995</v>
      </c>
      <c r="F209" s="19">
        <v>1425223</v>
      </c>
      <c r="G209" s="19">
        <v>1276005.8999999999</v>
      </c>
      <c r="H209" s="19">
        <v>1294748.8</v>
      </c>
      <c r="I209" s="20">
        <v>80.8</v>
      </c>
      <c r="J209" s="21">
        <v>101.258</v>
      </c>
      <c r="K209" s="21">
        <v>101.66</v>
      </c>
      <c r="L209" s="21">
        <v>101.721</v>
      </c>
      <c r="M209" s="21">
        <v>102.792</v>
      </c>
      <c r="N209" s="21">
        <v>104.011</v>
      </c>
      <c r="O209" s="21">
        <v>105.637</v>
      </c>
      <c r="P209" s="21">
        <v>107.40333333333299</v>
      </c>
      <c r="Q209" s="21">
        <v>174.91</v>
      </c>
      <c r="R209" s="21">
        <v>68.8333333333333</v>
      </c>
      <c r="S209" s="21">
        <v>163.96066466666699</v>
      </c>
      <c r="T209" s="22">
        <v>133.47</v>
      </c>
      <c r="U209" s="19">
        <v>1496957.1</v>
      </c>
      <c r="V209" s="19">
        <v>176383.97170837899</v>
      </c>
      <c r="W209" s="19">
        <v>162096.87</v>
      </c>
      <c r="X209" s="19">
        <v>139213.16</v>
      </c>
      <c r="Y209" s="21">
        <v>8.1</v>
      </c>
      <c r="Z209" s="19">
        <v>62069955</v>
      </c>
      <c r="AA209" s="22">
        <v>0.48782455071358499</v>
      </c>
      <c r="AB209" s="22">
        <v>9.2349537656094203</v>
      </c>
      <c r="AC209" s="20">
        <v>18.930891756268998</v>
      </c>
      <c r="AD209" s="20">
        <v>49.438384480865203</v>
      </c>
      <c r="AE209" s="20">
        <v>0.82158579752018002</v>
      </c>
      <c r="AF209" s="20">
        <v>0.82932492950738101</v>
      </c>
      <c r="AG209" s="20">
        <v>-0.540384776334776</v>
      </c>
      <c r="AH209" s="20">
        <v>0.29534783775269802</v>
      </c>
      <c r="AI209" s="21">
        <f t="shared" si="3"/>
        <v>0.83573261408747401</v>
      </c>
      <c r="AJ209" s="21">
        <v>10799517</v>
      </c>
      <c r="AK209" s="21">
        <v>14232234</v>
      </c>
      <c r="AL209" s="21">
        <v>14987867</v>
      </c>
      <c r="AM209" s="20">
        <v>4183.0806000000002</v>
      </c>
      <c r="AN209" s="19">
        <v>13452710.233041899</v>
      </c>
      <c r="AO209" s="21">
        <v>21440.929</v>
      </c>
      <c r="AP209" s="21">
        <v>268.55</v>
      </c>
      <c r="AQ209" s="21">
        <v>223.9</v>
      </c>
      <c r="AR209" s="22">
        <v>1.04E-2</v>
      </c>
      <c r="AS209" s="22">
        <v>0.63253555297851605</v>
      </c>
      <c r="AT209" s="20">
        <v>105.9</v>
      </c>
      <c r="AU209" s="20">
        <v>7.1</v>
      </c>
    </row>
    <row r="210" spans="1:47" ht="16" customHeight="1" x14ac:dyDescent="0.2">
      <c r="A210" s="18" t="s">
        <v>322</v>
      </c>
      <c r="B210" s="19">
        <v>3123601.3</v>
      </c>
      <c r="C210" s="19">
        <v>1620146.5</v>
      </c>
      <c r="D210" s="19">
        <v>686160.1</v>
      </c>
      <c r="E210" s="19">
        <v>650128.80000000005</v>
      </c>
      <c r="F210" s="19">
        <v>1451567.8</v>
      </c>
      <c r="G210" s="19">
        <v>1297971.8999999999</v>
      </c>
      <c r="H210" s="19">
        <v>1304850.3999999999</v>
      </c>
      <c r="I210" s="20">
        <v>82.7</v>
      </c>
      <c r="J210" s="21">
        <v>102.496</v>
      </c>
      <c r="K210" s="21">
        <v>102.413</v>
      </c>
      <c r="L210" s="21">
        <v>102.102</v>
      </c>
      <c r="M210" s="21">
        <v>105.244</v>
      </c>
      <c r="N210" s="21">
        <v>106.93</v>
      </c>
      <c r="O210" s="21">
        <v>109.39</v>
      </c>
      <c r="P210" s="21">
        <v>108.01666666666701</v>
      </c>
      <c r="Q210" s="21">
        <v>220.32</v>
      </c>
      <c r="R210" s="21">
        <v>73.47</v>
      </c>
      <c r="S210" s="21">
        <v>158.22246533333299</v>
      </c>
      <c r="T210" s="22">
        <v>137.74</v>
      </c>
      <c r="U210" s="19">
        <v>1544767</v>
      </c>
      <c r="V210" s="19">
        <v>177425.25974025999</v>
      </c>
      <c r="W210" s="19">
        <v>163940.94</v>
      </c>
      <c r="X210" s="19">
        <v>140925.04</v>
      </c>
      <c r="Y210" s="21">
        <v>7.6</v>
      </c>
      <c r="Z210" s="19">
        <v>62939969</v>
      </c>
      <c r="AA210" s="22">
        <v>0.49454679123100598</v>
      </c>
      <c r="AB210" s="22">
        <v>9.4227042982674103</v>
      </c>
      <c r="AC210" s="20">
        <v>19.053210869719301</v>
      </c>
      <c r="AD210" s="20">
        <v>49.628262447984397</v>
      </c>
      <c r="AE210" s="20">
        <v>0.83119439309510201</v>
      </c>
      <c r="AF210" s="20">
        <v>0.84832032575500504</v>
      </c>
      <c r="AG210" s="20">
        <v>-0.54581818181818198</v>
      </c>
      <c r="AH210" s="20">
        <v>0.139971703476339</v>
      </c>
      <c r="AI210" s="21">
        <f t="shared" si="3"/>
        <v>0.68578988529452101</v>
      </c>
      <c r="AJ210" s="21">
        <v>11086933</v>
      </c>
      <c r="AK210" s="21">
        <v>14492634</v>
      </c>
      <c r="AL210" s="21">
        <v>15253663</v>
      </c>
      <c r="AM210" s="20">
        <v>4422.5160999999998</v>
      </c>
      <c r="AN210" s="19">
        <v>13552364.695294101</v>
      </c>
      <c r="AO210" s="21">
        <v>21617.828000000001</v>
      </c>
      <c r="AP210" s="21">
        <v>272.83</v>
      </c>
      <c r="AQ210" s="21">
        <v>233.648</v>
      </c>
      <c r="AR210" s="22">
        <v>0.01</v>
      </c>
      <c r="AS210" s="22">
        <v>0.568351682027181</v>
      </c>
      <c r="AT210" s="20">
        <v>119.1</v>
      </c>
      <c r="AU210" s="20">
        <v>14.4</v>
      </c>
    </row>
    <row r="211" spans="1:47" ht="16" customHeight="1" x14ac:dyDescent="0.2">
      <c r="A211" s="18" t="s">
        <v>323</v>
      </c>
      <c r="B211" s="19">
        <v>3148191.6</v>
      </c>
      <c r="C211" s="19">
        <v>1625280.9</v>
      </c>
      <c r="D211" s="19">
        <v>687490.3</v>
      </c>
      <c r="E211" s="19">
        <v>669658.30000000005</v>
      </c>
      <c r="F211" s="19">
        <v>1496762.6</v>
      </c>
      <c r="G211" s="19">
        <v>1371497</v>
      </c>
      <c r="H211" s="19">
        <v>1346655.9</v>
      </c>
      <c r="I211" s="20">
        <v>82.8</v>
      </c>
      <c r="J211" s="21">
        <v>103.66500000000001</v>
      </c>
      <c r="K211" s="21">
        <v>103.997</v>
      </c>
      <c r="L211" s="21">
        <v>103.21899999999999</v>
      </c>
      <c r="M211" s="21">
        <v>106.81</v>
      </c>
      <c r="N211" s="21">
        <v>110.40600000000001</v>
      </c>
      <c r="O211" s="21">
        <v>113.79300000000001</v>
      </c>
      <c r="P211" s="21">
        <v>109.883333333333</v>
      </c>
      <c r="Q211" s="21">
        <v>308.27</v>
      </c>
      <c r="R211" s="21">
        <v>79.586666666666702</v>
      </c>
      <c r="S211" s="21">
        <v>160.24627833333301</v>
      </c>
      <c r="T211" s="22">
        <v>140.33000000000001</v>
      </c>
      <c r="U211" s="19">
        <v>1567986.8</v>
      </c>
      <c r="V211" s="19">
        <v>177683.55603448299</v>
      </c>
      <c r="W211" s="19">
        <v>164890.34</v>
      </c>
      <c r="X211" s="19">
        <v>141775.74</v>
      </c>
      <c r="Y211" s="21">
        <v>7.2</v>
      </c>
      <c r="Z211" s="19">
        <v>63430874</v>
      </c>
      <c r="AA211" s="22">
        <v>0.498059520900824</v>
      </c>
      <c r="AB211" s="22">
        <v>9.5092702216515494</v>
      </c>
      <c r="AC211" s="20">
        <v>19.092638173952501</v>
      </c>
      <c r="AD211" s="20">
        <v>49.631849625783197</v>
      </c>
      <c r="AE211" s="20">
        <v>0.84216388958445398</v>
      </c>
      <c r="AF211" s="20">
        <v>0.87450808919982503</v>
      </c>
      <c r="AG211" s="20">
        <v>-0.56637656063743003</v>
      </c>
      <c r="AH211" s="20">
        <v>0.314378686279845</v>
      </c>
      <c r="AI211" s="21">
        <f t="shared" si="3"/>
        <v>0.88075524691727503</v>
      </c>
      <c r="AJ211" s="21">
        <v>11299553</v>
      </c>
      <c r="AK211" s="21">
        <v>14712119</v>
      </c>
      <c r="AL211" s="21">
        <v>15499049</v>
      </c>
      <c r="AM211" s="20">
        <v>4602.2111999999997</v>
      </c>
      <c r="AN211" s="19">
        <v>13804925.6687709</v>
      </c>
      <c r="AO211" s="21">
        <v>21988.737000000001</v>
      </c>
      <c r="AP211" s="21">
        <v>278.77100000000002</v>
      </c>
      <c r="AQ211" s="21">
        <v>241.697</v>
      </c>
      <c r="AR211" s="22">
        <v>4.5600000000000002E-2</v>
      </c>
      <c r="AS211" s="22">
        <v>0.58505591074625696</v>
      </c>
      <c r="AT211" s="20">
        <v>119.9</v>
      </c>
      <c r="AU211" s="20">
        <v>14.7</v>
      </c>
    </row>
    <row r="212" spans="1:47" ht="16" customHeight="1" x14ac:dyDescent="0.2">
      <c r="A212" s="18" t="s">
        <v>324</v>
      </c>
      <c r="B212" s="19">
        <v>3170843.7</v>
      </c>
      <c r="C212" s="19">
        <v>1643045</v>
      </c>
      <c r="D212" s="19">
        <v>690788.9</v>
      </c>
      <c r="E212" s="19">
        <v>666635.5</v>
      </c>
      <c r="F212" s="19">
        <v>1524335.6</v>
      </c>
      <c r="G212" s="19">
        <v>1382303</v>
      </c>
      <c r="H212" s="19">
        <v>1374070.6</v>
      </c>
      <c r="I212" s="20">
        <v>82.9</v>
      </c>
      <c r="J212" s="21">
        <v>105.19799999999999</v>
      </c>
      <c r="K212" s="21">
        <v>105.98399999999999</v>
      </c>
      <c r="L212" s="21">
        <v>104.538</v>
      </c>
      <c r="M212" s="21">
        <v>108.77800000000001</v>
      </c>
      <c r="N212" s="21">
        <v>114.32</v>
      </c>
      <c r="O212" s="21">
        <v>119.672</v>
      </c>
      <c r="P212" s="21">
        <v>112.29</v>
      </c>
      <c r="Q212" s="21">
        <v>344.5</v>
      </c>
      <c r="R212" s="21">
        <v>100.29666666666699</v>
      </c>
      <c r="S212" s="21">
        <v>180.53387599999999</v>
      </c>
      <c r="T212" s="22">
        <v>142.85</v>
      </c>
      <c r="U212" s="19">
        <v>1589206.6</v>
      </c>
      <c r="V212" s="19">
        <v>177951.85821697101</v>
      </c>
      <c r="W212" s="19">
        <v>165673.18</v>
      </c>
      <c r="X212" s="19">
        <v>142456.72</v>
      </c>
      <c r="Y212" s="21">
        <v>6.9</v>
      </c>
      <c r="Z212" s="19">
        <v>64106254</v>
      </c>
      <c r="AA212" s="22">
        <v>0.50119360976386196</v>
      </c>
      <c r="AB212" s="22">
        <v>9.59241924371827</v>
      </c>
      <c r="AC212" s="20">
        <v>19.139149136873002</v>
      </c>
      <c r="AD212" s="20">
        <v>49.462314550464903</v>
      </c>
      <c r="AE212" s="20">
        <v>0.84622438655078702</v>
      </c>
      <c r="AF212" s="20">
        <v>0.89150396719265401</v>
      </c>
      <c r="AG212" s="20">
        <v>-0.52902587993385097</v>
      </c>
      <c r="AH212" s="20">
        <v>0.84405586546947298</v>
      </c>
      <c r="AI212" s="21">
        <f t="shared" si="3"/>
        <v>1.3730817454033239</v>
      </c>
      <c r="AJ212" s="21">
        <v>11532853</v>
      </c>
      <c r="AK212" s="21">
        <v>14976033</v>
      </c>
      <c r="AL212" s="21">
        <v>15729145</v>
      </c>
      <c r="AM212" s="20">
        <v>4467.0204000000003</v>
      </c>
      <c r="AN212" s="19">
        <v>13761828.195164099</v>
      </c>
      <c r="AO212" s="21">
        <v>21932.71</v>
      </c>
      <c r="AP212" s="21">
        <v>284.90600000000001</v>
      </c>
      <c r="AQ212" s="21">
        <v>253.042</v>
      </c>
      <c r="AR212" s="22">
        <v>0.17150000000000001</v>
      </c>
      <c r="AS212" s="22">
        <v>1.2432137807210299</v>
      </c>
      <c r="AT212" s="20">
        <v>114.1</v>
      </c>
      <c r="AU212" s="20">
        <v>13.2</v>
      </c>
    </row>
    <row r="213" spans="1:47" ht="16" customHeight="1" x14ac:dyDescent="0.2">
      <c r="A213" s="18" t="s">
        <v>325</v>
      </c>
      <c r="B213" s="19">
        <v>3200437.4</v>
      </c>
      <c r="C213" s="19">
        <v>1662104.6</v>
      </c>
      <c r="D213" s="19">
        <v>690106.7</v>
      </c>
      <c r="E213" s="19">
        <v>666972.5</v>
      </c>
      <c r="F213" s="19">
        <v>1548196.8</v>
      </c>
      <c r="G213" s="19">
        <v>1403390.9</v>
      </c>
      <c r="H213" s="19">
        <v>1417435.1</v>
      </c>
      <c r="I213" s="20">
        <v>82.6</v>
      </c>
      <c r="J213" s="21">
        <v>106.539</v>
      </c>
      <c r="K213" s="21">
        <v>107.97799999999999</v>
      </c>
      <c r="L213" s="21">
        <v>105.489</v>
      </c>
      <c r="M213" s="21">
        <v>111.953</v>
      </c>
      <c r="N213" s="21">
        <v>119.226</v>
      </c>
      <c r="O213" s="21">
        <v>127.048</v>
      </c>
      <c r="P213" s="21">
        <v>116.066666666667</v>
      </c>
      <c r="Q213" s="21">
        <v>352.08</v>
      </c>
      <c r="R213" s="21">
        <v>113.543333333333</v>
      </c>
      <c r="S213" s="21">
        <v>177.89362499999999</v>
      </c>
      <c r="T213" s="22">
        <v>146.05000000000001</v>
      </c>
      <c r="U213" s="19">
        <v>1611815.6</v>
      </c>
      <c r="V213" s="19">
        <v>178660.74034334801</v>
      </c>
      <c r="W213" s="19">
        <v>166511.81</v>
      </c>
      <c r="X213" s="19">
        <v>143278.79999999999</v>
      </c>
      <c r="Y213" s="21">
        <v>6.8</v>
      </c>
      <c r="Z213" s="19">
        <v>64459604</v>
      </c>
      <c r="AA213" s="22">
        <v>0.50362353595792897</v>
      </c>
      <c r="AB213" s="22">
        <v>9.6798875707374794</v>
      </c>
      <c r="AC213" s="20">
        <v>19.220482919499801</v>
      </c>
      <c r="AD213" s="20">
        <v>49.6502801971914</v>
      </c>
      <c r="AE213" s="20">
        <v>0.86240897273292805</v>
      </c>
      <c r="AF213" s="20">
        <v>0.93923170846247805</v>
      </c>
      <c r="AG213" s="20">
        <v>-0.357616427432217</v>
      </c>
      <c r="AH213" s="20">
        <v>1.96025047760058</v>
      </c>
      <c r="AI213" s="21">
        <f t="shared" si="3"/>
        <v>2.3178669050327971</v>
      </c>
      <c r="AJ213" s="21">
        <v>11641614</v>
      </c>
      <c r="AK213" s="21">
        <v>15140759</v>
      </c>
      <c r="AL213" s="21">
        <v>15929996</v>
      </c>
      <c r="AM213" s="20">
        <v>4110.2008999999998</v>
      </c>
      <c r="AN213" s="19">
        <v>13766441.463181101</v>
      </c>
      <c r="AO213" s="21">
        <v>21967.044999999998</v>
      </c>
      <c r="AP213" s="21">
        <v>291.60500000000002</v>
      </c>
      <c r="AQ213" s="21">
        <v>272.93700000000001</v>
      </c>
      <c r="AR213" s="22">
        <v>0.38340000000000002</v>
      </c>
      <c r="AS213" s="22">
        <v>1.0898108418782499</v>
      </c>
      <c r="AT213" s="20">
        <v>104.9</v>
      </c>
      <c r="AU213" s="20">
        <v>7.3</v>
      </c>
    </row>
    <row r="214" spans="1:47" ht="16" customHeight="1" x14ac:dyDescent="0.2">
      <c r="A214" s="18" t="s">
        <v>326</v>
      </c>
      <c r="B214" s="19">
        <v>3215269.4</v>
      </c>
      <c r="C214" s="19">
        <v>1672328.4</v>
      </c>
      <c r="D214" s="19">
        <v>688432.6</v>
      </c>
      <c r="E214" s="19">
        <v>673032.6</v>
      </c>
      <c r="F214" s="19">
        <v>1571862.8</v>
      </c>
      <c r="G214" s="19">
        <v>1431626</v>
      </c>
      <c r="H214" s="19">
        <v>1457827.8</v>
      </c>
      <c r="I214" s="20">
        <v>82</v>
      </c>
      <c r="J214" s="21">
        <v>107.879</v>
      </c>
      <c r="K214" s="21">
        <v>110.04600000000001</v>
      </c>
      <c r="L214" s="21">
        <v>107.4</v>
      </c>
      <c r="M214" s="21">
        <v>113.907</v>
      </c>
      <c r="N214" s="21">
        <v>121.884</v>
      </c>
      <c r="O214" s="21">
        <v>131.077</v>
      </c>
      <c r="P214" s="21">
        <v>118.1</v>
      </c>
      <c r="Q214" s="21">
        <v>473.03</v>
      </c>
      <c r="R214" s="21">
        <v>100.713333333333</v>
      </c>
      <c r="S214" s="21">
        <v>154.50400999999999</v>
      </c>
      <c r="T214" s="22">
        <v>147.36000000000001</v>
      </c>
      <c r="U214" s="19">
        <v>1640415.7</v>
      </c>
      <c r="V214" s="19">
        <v>179139.721030043</v>
      </c>
      <c r="W214" s="19">
        <v>166958.22</v>
      </c>
      <c r="X214" s="19">
        <v>143641.35</v>
      </c>
      <c r="Y214" s="21">
        <v>6.8</v>
      </c>
      <c r="Z214" s="19">
        <v>64706068</v>
      </c>
      <c r="AA214" s="22">
        <v>0.51019541317439798</v>
      </c>
      <c r="AB214" s="22">
        <v>9.8253065946678095</v>
      </c>
      <c r="AC214" s="20">
        <v>19.257928121179098</v>
      </c>
      <c r="AD214" s="20">
        <v>49.690384524678599</v>
      </c>
      <c r="AE214" s="20">
        <v>0.87817720854981596</v>
      </c>
      <c r="AF214" s="20">
        <v>0.99304865938430997</v>
      </c>
      <c r="AG214" s="20">
        <v>0.48074060480582198</v>
      </c>
      <c r="AH214" s="20">
        <v>2.3211037836214099</v>
      </c>
      <c r="AI214" s="21">
        <f t="shared" si="3"/>
        <v>1.8403631788155879</v>
      </c>
      <c r="AJ214" s="21">
        <v>11694702</v>
      </c>
      <c r="AK214" s="21">
        <v>15422178</v>
      </c>
      <c r="AL214" s="21">
        <v>16195744</v>
      </c>
      <c r="AM214" s="20">
        <v>3973.6043</v>
      </c>
      <c r="AN214" s="19">
        <v>13862189.973524399</v>
      </c>
      <c r="AO214" s="21">
        <v>22125.625</v>
      </c>
      <c r="AP214" s="21">
        <v>295.45299999999997</v>
      </c>
      <c r="AQ214" s="21">
        <v>269.90600000000001</v>
      </c>
      <c r="AR214" s="22">
        <v>0.4163</v>
      </c>
      <c r="AS214" s="22">
        <v>1.1002812194824201</v>
      </c>
      <c r="AT214" s="20">
        <v>99.5</v>
      </c>
      <c r="AU214" s="20">
        <v>3.8</v>
      </c>
    </row>
    <row r="215" spans="1:47" ht="16" customHeight="1" x14ac:dyDescent="0.2">
      <c r="A215" s="18" t="s">
        <v>327</v>
      </c>
      <c r="B215" s="19">
        <v>3213848</v>
      </c>
      <c r="C215" s="19">
        <v>1657474.1</v>
      </c>
      <c r="D215" s="19">
        <v>692825.4</v>
      </c>
      <c r="E215" s="19">
        <v>670117.1</v>
      </c>
      <c r="F215" s="19">
        <v>1569913.6</v>
      </c>
      <c r="G215" s="19">
        <v>1424957.7</v>
      </c>
      <c r="H215" s="19">
        <v>1500445.6</v>
      </c>
      <c r="I215" s="20">
        <v>81.5</v>
      </c>
      <c r="J215" s="21">
        <v>110.008</v>
      </c>
      <c r="K215" s="21">
        <v>112.971</v>
      </c>
      <c r="L215" s="21">
        <v>108.595</v>
      </c>
      <c r="M215" s="21">
        <v>115.456</v>
      </c>
      <c r="N215" s="21">
        <v>122.17</v>
      </c>
      <c r="O215" s="21">
        <v>128.607</v>
      </c>
      <c r="P215" s="21">
        <v>120.84333333333301</v>
      </c>
      <c r="Q215" s="21">
        <v>302.91000000000003</v>
      </c>
      <c r="R215" s="21">
        <v>88.5566666666667</v>
      </c>
      <c r="S215" s="21">
        <v>150.78908000000001</v>
      </c>
      <c r="T215" s="22">
        <v>144.83000000000001</v>
      </c>
      <c r="U215" s="19">
        <v>1672188.4</v>
      </c>
      <c r="V215" s="19">
        <v>179658.98177920701</v>
      </c>
      <c r="W215" s="19">
        <v>167621.82999999999</v>
      </c>
      <c r="X215" s="19">
        <v>144336.95000000001</v>
      </c>
      <c r="Y215" s="21">
        <v>6.7</v>
      </c>
      <c r="Z215" s="19">
        <v>64894413</v>
      </c>
      <c r="AA215" s="22">
        <v>0.52030724539555095</v>
      </c>
      <c r="AB215" s="22">
        <v>9.9759583820317399</v>
      </c>
      <c r="AC215" s="20">
        <v>19.173206735662099</v>
      </c>
      <c r="AD215" s="20">
        <v>49.524263359929002</v>
      </c>
      <c r="AE215" s="20">
        <v>0.85709926752296595</v>
      </c>
      <c r="AF215" s="20">
        <v>0.97991180793728605</v>
      </c>
      <c r="AG215" s="20">
        <v>1.7721233766233799</v>
      </c>
      <c r="AH215" s="20">
        <v>3.0403896897838298</v>
      </c>
      <c r="AI215" s="21">
        <f t="shared" si="3"/>
        <v>1.2682663131604499</v>
      </c>
      <c r="AJ215" s="21">
        <v>11304904</v>
      </c>
      <c r="AK215" s="21">
        <v>15237981</v>
      </c>
      <c r="AL215" s="21">
        <v>16059190</v>
      </c>
      <c r="AM215" s="20">
        <v>3851.9735000000001</v>
      </c>
      <c r="AN215" s="19">
        <v>13982711.7149755</v>
      </c>
      <c r="AO215" s="21">
        <v>22278.345000000001</v>
      </c>
      <c r="AP215" s="21">
        <v>298.54199999999997</v>
      </c>
      <c r="AQ215" s="21">
        <v>262.03800000000001</v>
      </c>
      <c r="AR215" s="22">
        <v>0.48099999999999998</v>
      </c>
      <c r="AS215" s="22">
        <v>1.0841433207194</v>
      </c>
      <c r="AT215" s="20">
        <v>94.3</v>
      </c>
      <c r="AU215" s="20">
        <v>-0.5</v>
      </c>
    </row>
    <row r="216" spans="1:47" ht="16" customHeight="1" x14ac:dyDescent="0.2">
      <c r="A216" s="18" t="s">
        <v>328</v>
      </c>
      <c r="B216" s="19">
        <v>3211973.2</v>
      </c>
      <c r="C216" s="19">
        <v>1663757.7</v>
      </c>
      <c r="D216" s="19">
        <v>696167.1</v>
      </c>
      <c r="E216" s="19">
        <v>682263.7</v>
      </c>
      <c r="F216" s="19">
        <v>1553730.9</v>
      </c>
      <c r="G216" s="19">
        <v>1402024</v>
      </c>
      <c r="H216" s="19">
        <v>1522333.8</v>
      </c>
      <c r="I216" s="20">
        <v>81.5</v>
      </c>
      <c r="J216" s="21">
        <v>112.16</v>
      </c>
      <c r="K216" s="21">
        <v>114.592</v>
      </c>
      <c r="L216" s="21">
        <v>108.69</v>
      </c>
      <c r="M216" s="21">
        <v>115.923</v>
      </c>
      <c r="N216" s="21">
        <v>120.73</v>
      </c>
      <c r="O216" s="21">
        <v>125.515</v>
      </c>
      <c r="P216" s="21">
        <v>121.293333333333</v>
      </c>
      <c r="Q216" s="21">
        <v>232.18</v>
      </c>
      <c r="R216" s="21">
        <v>81.173333333333304</v>
      </c>
      <c r="S216" s="21">
        <v>154.59068666666701</v>
      </c>
      <c r="T216" s="22">
        <v>143.54</v>
      </c>
      <c r="U216" s="19">
        <v>1706722.3</v>
      </c>
      <c r="V216" s="19">
        <v>180227.46252676699</v>
      </c>
      <c r="W216" s="19">
        <v>168332.45</v>
      </c>
      <c r="X216" s="19">
        <v>144952.35</v>
      </c>
      <c r="Y216" s="21">
        <v>6.6</v>
      </c>
      <c r="Z216" s="19">
        <v>65526393</v>
      </c>
      <c r="AA216" s="22">
        <v>0.531362559314007</v>
      </c>
      <c r="AB216" s="22">
        <v>10.1389975610763</v>
      </c>
      <c r="AC216" s="20">
        <v>19.081129039587999</v>
      </c>
      <c r="AD216" s="20">
        <v>49.0180071410309</v>
      </c>
      <c r="AE216" s="20">
        <v>0.83745430639940699</v>
      </c>
      <c r="AF216" s="20">
        <v>0.93196644920782901</v>
      </c>
      <c r="AG216" s="20">
        <v>2.63192628458498</v>
      </c>
      <c r="AH216" s="20">
        <v>3.16608303740355</v>
      </c>
      <c r="AI216" s="21">
        <f t="shared" si="3"/>
        <v>0.53415675281857</v>
      </c>
      <c r="AJ216" s="21">
        <v>11008819</v>
      </c>
      <c r="AK216" s="21">
        <v>15178734</v>
      </c>
      <c r="AL216" s="21">
        <v>16040580</v>
      </c>
      <c r="AM216" s="20">
        <v>4002.9668000000001</v>
      </c>
      <c r="AN216" s="19">
        <v>14086444.7555348</v>
      </c>
      <c r="AO216" s="21">
        <v>22439.607</v>
      </c>
      <c r="AP216" s="21">
        <v>301.23</v>
      </c>
      <c r="AQ216" s="21">
        <v>258.65300000000002</v>
      </c>
      <c r="AR216" s="22">
        <v>0.18840000000000001</v>
      </c>
      <c r="AS216" s="22">
        <v>0.92299316406249898</v>
      </c>
      <c r="AT216" s="20">
        <v>99.4</v>
      </c>
      <c r="AU216" s="20">
        <v>0.9</v>
      </c>
    </row>
    <row r="217" spans="1:47" ht="16" customHeight="1" x14ac:dyDescent="0.2">
      <c r="A217" s="18" t="s">
        <v>329</v>
      </c>
      <c r="B217" s="19">
        <v>3218451.4</v>
      </c>
      <c r="C217" s="19">
        <v>1668906.2</v>
      </c>
      <c r="D217" s="19">
        <v>698478.5</v>
      </c>
      <c r="E217" s="19">
        <v>679738.4</v>
      </c>
      <c r="F217" s="19">
        <v>1540694.2</v>
      </c>
      <c r="G217" s="19">
        <v>1394177.9</v>
      </c>
      <c r="H217" s="19">
        <v>1537928.3</v>
      </c>
      <c r="I217" s="20">
        <v>80.8</v>
      </c>
      <c r="J217" s="21">
        <v>113.42100000000001</v>
      </c>
      <c r="K217" s="21">
        <v>115.726</v>
      </c>
      <c r="L217" s="21">
        <v>109.87</v>
      </c>
      <c r="M217" s="21">
        <v>116.794</v>
      </c>
      <c r="N217" s="21">
        <v>119.866</v>
      </c>
      <c r="O217" s="21">
        <v>123.30500000000001</v>
      </c>
      <c r="P217" s="21">
        <v>123.26</v>
      </c>
      <c r="Q217" s="21">
        <v>193.58</v>
      </c>
      <c r="R217" s="21">
        <v>78.316666666666706</v>
      </c>
      <c r="S217" s="21">
        <v>149.13012599999999</v>
      </c>
      <c r="T217" s="22">
        <v>143.80000000000001</v>
      </c>
      <c r="U217" s="19">
        <v>1730063.7</v>
      </c>
      <c r="V217" s="19">
        <v>180588.20320855599</v>
      </c>
      <c r="W217" s="19">
        <v>168849.97</v>
      </c>
      <c r="X217" s="19">
        <v>145489.21</v>
      </c>
      <c r="Y217" s="21">
        <v>6.5</v>
      </c>
      <c r="Z217" s="19">
        <v>65497190</v>
      </c>
      <c r="AA217" s="22">
        <v>0.53754538595797996</v>
      </c>
      <c r="AB217" s="22">
        <v>10.246159356735401</v>
      </c>
      <c r="AC217" s="20">
        <v>19.061012566362901</v>
      </c>
      <c r="AD217" s="20">
        <v>49.1387706861928</v>
      </c>
      <c r="AE217" s="20">
        <v>0.82371124198357304</v>
      </c>
      <c r="AF217" s="20">
        <v>0.91852668320014697</v>
      </c>
      <c r="AG217" s="20">
        <v>3.35643280632411</v>
      </c>
      <c r="AH217" s="20">
        <v>3.1875586339692799</v>
      </c>
      <c r="AI217" s="21">
        <f t="shared" si="3"/>
        <v>-0.16887417235483015</v>
      </c>
      <c r="AJ217" s="21">
        <v>10704881</v>
      </c>
      <c r="AK217" s="21">
        <v>15086706</v>
      </c>
      <c r="AL217" s="21">
        <v>15980596</v>
      </c>
      <c r="AM217" s="20">
        <v>4204.3378000000002</v>
      </c>
      <c r="AN217" s="19">
        <v>14178589.2395027</v>
      </c>
      <c r="AO217" s="21">
        <v>22580.499</v>
      </c>
      <c r="AP217" s="21">
        <v>303.39800000000002</v>
      </c>
      <c r="AQ217" s="21">
        <v>254.81299999999999</v>
      </c>
      <c r="AR217" s="22">
        <v>0.15060000000000001</v>
      </c>
      <c r="AS217" s="22">
        <v>0.923156687418621</v>
      </c>
      <c r="AT217" s="20">
        <v>98.8</v>
      </c>
      <c r="AU217" s="20">
        <v>-3.6</v>
      </c>
    </row>
    <row r="218" spans="1:47" ht="16" customHeight="1" x14ac:dyDescent="0.2">
      <c r="A218" s="18" t="s">
        <v>330</v>
      </c>
      <c r="B218" s="19">
        <v>3217106.7</v>
      </c>
      <c r="C218" s="19">
        <v>1667285.7</v>
      </c>
      <c r="D218" s="19">
        <v>702369.9</v>
      </c>
      <c r="E218" s="19">
        <v>680661.3</v>
      </c>
      <c r="F218" s="19">
        <v>1526336.5</v>
      </c>
      <c r="G218" s="19">
        <v>1371878.2</v>
      </c>
      <c r="H218" s="19">
        <v>1539750.2</v>
      </c>
      <c r="I218" s="20">
        <v>79.900000000000006</v>
      </c>
      <c r="J218" s="21">
        <v>114.26600000000001</v>
      </c>
      <c r="K218" s="21">
        <v>116.687</v>
      </c>
      <c r="L218" s="21">
        <v>110.871</v>
      </c>
      <c r="M218" s="21">
        <v>117.428</v>
      </c>
      <c r="N218" s="21">
        <v>119.613</v>
      </c>
      <c r="O218" s="21">
        <v>122.973</v>
      </c>
      <c r="P218" s="21">
        <v>123.95</v>
      </c>
      <c r="Q218" s="21">
        <v>196.8</v>
      </c>
      <c r="R218" s="21">
        <v>86.66</v>
      </c>
      <c r="S218" s="21">
        <v>144.59031200000001</v>
      </c>
      <c r="T218" s="22">
        <v>144.09</v>
      </c>
      <c r="U218" s="19">
        <v>1753469.4</v>
      </c>
      <c r="V218" s="19">
        <v>181162.869379015</v>
      </c>
      <c r="W218" s="19">
        <v>169206.12</v>
      </c>
      <c r="X218" s="19">
        <v>145775.67000000001</v>
      </c>
      <c r="Y218" s="21">
        <v>6.6</v>
      </c>
      <c r="Z218" s="19">
        <v>65781580</v>
      </c>
      <c r="AA218" s="22">
        <v>0.54504545963613804</v>
      </c>
      <c r="AB218" s="22">
        <v>10.362919497238</v>
      </c>
      <c r="AC218" s="20">
        <v>19.0129452764475</v>
      </c>
      <c r="AD218" s="20">
        <v>48.905889764277497</v>
      </c>
      <c r="AE218" s="20">
        <v>0.80981342708453397</v>
      </c>
      <c r="AF218" s="20">
        <v>0.918779860345461</v>
      </c>
      <c r="AG218" s="20">
        <v>3.7773871635610798</v>
      </c>
      <c r="AH218" s="20">
        <v>3.37188280488115</v>
      </c>
      <c r="AI218" s="21">
        <f t="shared" si="3"/>
        <v>-0.40550435867992984</v>
      </c>
      <c r="AJ218" s="21">
        <v>10514209</v>
      </c>
      <c r="AK218" s="21">
        <v>15062795</v>
      </c>
      <c r="AL218" s="21">
        <v>15986569</v>
      </c>
      <c r="AM218" s="20">
        <v>4458.1764000000003</v>
      </c>
      <c r="AN218" s="19">
        <v>14338948.4547248</v>
      </c>
      <c r="AO218" s="21">
        <v>22840.989000000001</v>
      </c>
      <c r="AP218" s="21">
        <v>305.98899999999998</v>
      </c>
      <c r="AQ218" s="21">
        <v>256.81599999999997</v>
      </c>
      <c r="AR218" s="22">
        <v>8.2299999999999998E-2</v>
      </c>
      <c r="AS218" s="22">
        <v>0.79404319763183595</v>
      </c>
      <c r="AT218" s="20">
        <v>95</v>
      </c>
      <c r="AU218" s="20">
        <v>-9.1999999999999993</v>
      </c>
    </row>
    <row r="219" spans="1:47" ht="16" customHeight="1" x14ac:dyDescent="0.2">
      <c r="A219" s="18" t="s">
        <v>331</v>
      </c>
      <c r="B219" s="19">
        <v>3218699.7</v>
      </c>
      <c r="C219" s="19">
        <v>1668287.5</v>
      </c>
      <c r="D219" s="19">
        <v>707705.1</v>
      </c>
      <c r="E219" s="19">
        <v>687279.2</v>
      </c>
      <c r="F219" s="19">
        <v>1533953.2</v>
      </c>
      <c r="G219" s="19">
        <v>1377745</v>
      </c>
      <c r="H219" s="19">
        <v>1549019.4</v>
      </c>
      <c r="I219" s="20">
        <v>79.3</v>
      </c>
      <c r="J219" s="21">
        <v>115.44499999999999</v>
      </c>
      <c r="K219" s="21">
        <v>117.51600000000001</v>
      </c>
      <c r="L219" s="21">
        <v>112.16800000000001</v>
      </c>
      <c r="M219" s="21">
        <v>118.245</v>
      </c>
      <c r="N219" s="21">
        <v>120.15</v>
      </c>
      <c r="O219" s="21">
        <v>123.533</v>
      </c>
      <c r="P219" s="21">
        <v>124.15666666666699</v>
      </c>
      <c r="Q219" s="21">
        <v>204.64</v>
      </c>
      <c r="R219" s="21">
        <v>83.723333333333301</v>
      </c>
      <c r="S219" s="21">
        <v>144.90914533333299</v>
      </c>
      <c r="T219" s="22">
        <v>143.01</v>
      </c>
      <c r="U219" s="19">
        <v>1783711.9</v>
      </c>
      <c r="V219" s="19">
        <v>181842.269807281</v>
      </c>
      <c r="W219" s="19">
        <v>169840.68</v>
      </c>
      <c r="X219" s="19">
        <v>146321.53</v>
      </c>
      <c r="Y219" s="21">
        <v>6.6</v>
      </c>
      <c r="Z219" s="19">
        <v>65848538</v>
      </c>
      <c r="AA219" s="22">
        <v>0.55417158052986404</v>
      </c>
      <c r="AB219" s="22">
        <v>10.502265417213399</v>
      </c>
      <c r="AC219" s="20">
        <v>18.951288348586498</v>
      </c>
      <c r="AD219" s="20">
        <v>48.880351755114098</v>
      </c>
      <c r="AE219" s="20">
        <v>0.81276782393064795</v>
      </c>
      <c r="AF219" s="20">
        <v>0.93014603292717002</v>
      </c>
      <c r="AG219" s="20">
        <v>3.9574559884559899</v>
      </c>
      <c r="AH219" s="20">
        <v>3.33501054353329</v>
      </c>
      <c r="AI219" s="21">
        <f t="shared" si="3"/>
        <v>-0.62244544492269993</v>
      </c>
      <c r="AJ219" s="21">
        <v>10354466</v>
      </c>
      <c r="AK219" s="21">
        <v>15111993</v>
      </c>
      <c r="AL219" s="21">
        <v>16108579</v>
      </c>
      <c r="AM219" s="20">
        <v>4472.6097</v>
      </c>
      <c r="AN219" s="19">
        <v>14459574.2177986</v>
      </c>
      <c r="AO219" s="21">
        <v>23033.78</v>
      </c>
      <c r="AP219" s="21">
        <v>308.19499999999999</v>
      </c>
      <c r="AQ219" s="21">
        <v>252.63800000000001</v>
      </c>
      <c r="AR219" s="22">
        <v>0.1053</v>
      </c>
      <c r="AS219" s="22">
        <v>1.34173512776693</v>
      </c>
      <c r="AT219" s="20">
        <v>93.8</v>
      </c>
      <c r="AU219" s="20">
        <v>-9.1999999999999993</v>
      </c>
    </row>
    <row r="220" spans="1:47" ht="16" customHeight="1" x14ac:dyDescent="0.2">
      <c r="A220" s="18" t="s">
        <v>332</v>
      </c>
      <c r="B220" s="19">
        <v>3227665.2</v>
      </c>
      <c r="C220" s="19">
        <v>1678048.9</v>
      </c>
      <c r="D220" s="19">
        <v>708788.5</v>
      </c>
      <c r="E220" s="19">
        <v>674628.3</v>
      </c>
      <c r="F220" s="19">
        <v>1537492.6</v>
      </c>
      <c r="G220" s="19">
        <v>1365564.1</v>
      </c>
      <c r="H220" s="19">
        <v>1541900.9</v>
      </c>
      <c r="I220" s="20">
        <v>79</v>
      </c>
      <c r="J220" s="21">
        <v>116.20099999999999</v>
      </c>
      <c r="K220" s="21">
        <v>118.208</v>
      </c>
      <c r="L220" s="21">
        <v>112.42</v>
      </c>
      <c r="M220" s="21">
        <v>118.366</v>
      </c>
      <c r="N220" s="21">
        <v>119.974</v>
      </c>
      <c r="O220" s="21">
        <v>122.444</v>
      </c>
      <c r="P220" s="21">
        <v>124.44</v>
      </c>
      <c r="Q220" s="21">
        <v>183.95</v>
      </c>
      <c r="R220" s="21">
        <v>83.003333333333302</v>
      </c>
      <c r="S220" s="21">
        <v>152.80463399999999</v>
      </c>
      <c r="T220" s="22">
        <v>143.16999999999999</v>
      </c>
      <c r="U220" s="19">
        <v>1807157.1</v>
      </c>
      <c r="V220" s="19">
        <v>182030.34224598901</v>
      </c>
      <c r="W220" s="19">
        <v>170198.37</v>
      </c>
      <c r="X220" s="19">
        <v>146592.42000000001</v>
      </c>
      <c r="Y220" s="21">
        <v>6.5</v>
      </c>
      <c r="Z220" s="19">
        <v>66077047</v>
      </c>
      <c r="AA220" s="22">
        <v>0.55989608215870701</v>
      </c>
      <c r="AB220" s="22">
        <v>10.6179459885544</v>
      </c>
      <c r="AC220" s="20">
        <v>18.964136965588999</v>
      </c>
      <c r="AD220" s="20">
        <v>48.8469952357284</v>
      </c>
      <c r="AE220" s="20">
        <v>0.80826934983352305</v>
      </c>
      <c r="AF220" s="20">
        <v>0.92097992263768602</v>
      </c>
      <c r="AG220" s="20">
        <v>3.9236147186147199</v>
      </c>
      <c r="AH220" s="20">
        <v>2.96103312349786</v>
      </c>
      <c r="AI220" s="21">
        <f t="shared" si="3"/>
        <v>-0.96258159511685992</v>
      </c>
      <c r="AJ220" s="21">
        <v>10245525</v>
      </c>
      <c r="AK220" s="21">
        <v>15118968</v>
      </c>
      <c r="AL220" s="21">
        <v>16174841</v>
      </c>
      <c r="AM220" s="20">
        <v>4995.6751000000004</v>
      </c>
      <c r="AN220" s="19">
        <v>14514880.4183919</v>
      </c>
      <c r="AO220" s="21">
        <v>23082.118999999999</v>
      </c>
      <c r="AP220" s="21">
        <v>311.00299999999999</v>
      </c>
      <c r="AQ220" s="21">
        <v>253.77600000000001</v>
      </c>
      <c r="AR220" s="22">
        <v>4.2000000000000003E-2</v>
      </c>
      <c r="AS220" s="22">
        <v>1.0896941375732401</v>
      </c>
      <c r="AT220" s="20">
        <v>95.8</v>
      </c>
      <c r="AU220" s="20">
        <v>-9.6999999999999993</v>
      </c>
    </row>
    <row r="221" spans="1:47" ht="16" customHeight="1" x14ac:dyDescent="0.2">
      <c r="A221" s="18" t="s">
        <v>333</v>
      </c>
      <c r="B221" s="19">
        <v>3234149.3</v>
      </c>
      <c r="C221" s="19">
        <v>1680646.5</v>
      </c>
      <c r="D221" s="19">
        <v>715671.2</v>
      </c>
      <c r="E221" s="19">
        <v>657969.30000000005</v>
      </c>
      <c r="F221" s="19">
        <v>1561291.9</v>
      </c>
      <c r="G221" s="19">
        <v>1383019.2</v>
      </c>
      <c r="H221" s="19">
        <v>1544935.8</v>
      </c>
      <c r="I221" s="20">
        <v>78.8</v>
      </c>
      <c r="J221" s="21">
        <v>116.79</v>
      </c>
      <c r="K221" s="21">
        <v>118.717</v>
      </c>
      <c r="L221" s="21">
        <v>113.334</v>
      </c>
      <c r="M221" s="21">
        <v>118.78700000000001</v>
      </c>
      <c r="N221" s="21">
        <v>121.188</v>
      </c>
      <c r="O221" s="21">
        <v>123.611</v>
      </c>
      <c r="P221" s="21">
        <v>126.32</v>
      </c>
      <c r="Q221" s="21">
        <v>199.67</v>
      </c>
      <c r="R221" s="21">
        <v>84.646666666666704</v>
      </c>
      <c r="S221" s="21">
        <v>166.60496900000001</v>
      </c>
      <c r="T221" s="22">
        <v>145.80000000000001</v>
      </c>
      <c r="U221" s="19">
        <v>1830246.7</v>
      </c>
      <c r="V221" s="19">
        <v>182156.44230769199</v>
      </c>
      <c r="W221" s="19">
        <v>170498.43</v>
      </c>
      <c r="X221" s="19">
        <v>146934.1</v>
      </c>
      <c r="Y221" s="21">
        <v>6.4</v>
      </c>
      <c r="Z221" s="19">
        <v>66167867</v>
      </c>
      <c r="AA221" s="22">
        <v>0.56591286617473102</v>
      </c>
      <c r="AB221" s="22">
        <v>10.734683597966299</v>
      </c>
      <c r="AC221" s="20">
        <v>18.968792263952199</v>
      </c>
      <c r="AD221" s="20">
        <v>48.8779440328642</v>
      </c>
      <c r="AE221" s="20">
        <v>0.80564272162224204</v>
      </c>
      <c r="AF221" s="20">
        <v>0.92876381536175401</v>
      </c>
      <c r="AG221" s="20">
        <v>3.8081719367588902</v>
      </c>
      <c r="AH221" s="20">
        <v>3.12002438362041</v>
      </c>
      <c r="AI221" s="21">
        <f t="shared" si="3"/>
        <v>-0.68814755313848019</v>
      </c>
      <c r="AJ221" s="21">
        <v>10310164</v>
      </c>
      <c r="AK221" s="21">
        <v>15283438</v>
      </c>
      <c r="AL221" s="21">
        <v>16361315</v>
      </c>
      <c r="AM221" s="20">
        <v>5254.2861999999996</v>
      </c>
      <c r="AN221" s="19">
        <v>14624283.330855601</v>
      </c>
      <c r="AO221" s="21">
        <v>23286.508000000002</v>
      </c>
      <c r="AP221" s="21">
        <v>313.08100000000002</v>
      </c>
      <c r="AQ221" s="21">
        <v>256.06799999999998</v>
      </c>
      <c r="AR221" s="22">
        <v>2.93E-2</v>
      </c>
      <c r="AS221" s="22">
        <v>1.0208003234863301</v>
      </c>
      <c r="AT221" s="20">
        <v>95.9</v>
      </c>
      <c r="AU221" s="20">
        <v>-10.5</v>
      </c>
    </row>
    <row r="222" spans="1:47" ht="16" customHeight="1" x14ac:dyDescent="0.2">
      <c r="A222" s="18" t="s">
        <v>334</v>
      </c>
      <c r="B222" s="19">
        <v>3247293.3</v>
      </c>
      <c r="C222" s="19">
        <v>1689614.5</v>
      </c>
      <c r="D222" s="19">
        <v>720864</v>
      </c>
      <c r="E222" s="19">
        <v>668442.69999999995</v>
      </c>
      <c r="F222" s="19">
        <v>1539594.2</v>
      </c>
      <c r="G222" s="19">
        <v>1387691.1</v>
      </c>
      <c r="H222" s="19">
        <v>1550934.4</v>
      </c>
      <c r="I222" s="20">
        <v>77.599999999999994</v>
      </c>
      <c r="J222" s="21">
        <v>117.43600000000001</v>
      </c>
      <c r="K222" s="21">
        <v>119.188</v>
      </c>
      <c r="L222" s="21">
        <v>114.06399999999999</v>
      </c>
      <c r="M222" s="21">
        <v>119.53700000000001</v>
      </c>
      <c r="N222" s="21">
        <v>121.444</v>
      </c>
      <c r="O222" s="21">
        <v>123.379</v>
      </c>
      <c r="P222" s="21">
        <v>126.633333333333</v>
      </c>
      <c r="Q222" s="21">
        <v>197.5</v>
      </c>
      <c r="R222" s="21">
        <v>79.843333333333305</v>
      </c>
      <c r="S222" s="21">
        <v>160.43966399999999</v>
      </c>
      <c r="T222" s="22">
        <v>148.1</v>
      </c>
      <c r="U222" s="19">
        <v>1851440.2</v>
      </c>
      <c r="V222" s="19">
        <v>182438.36712913599</v>
      </c>
      <c r="W222" s="19">
        <v>170944.75</v>
      </c>
      <c r="X222" s="19">
        <v>147266.22</v>
      </c>
      <c r="Y222" s="21">
        <v>6.3</v>
      </c>
      <c r="Z222" s="19">
        <v>66125851</v>
      </c>
      <c r="AA222" s="22">
        <v>0.57014874511027402</v>
      </c>
      <c r="AB222" s="22">
        <v>10.830635044363699</v>
      </c>
      <c r="AC222" s="20">
        <v>18.996156945445801</v>
      </c>
      <c r="AD222" s="20">
        <v>49.107773297314502</v>
      </c>
      <c r="AE222" s="20">
        <v>0.79954607104393305</v>
      </c>
      <c r="AF222" s="20">
        <v>0.91049804242920895</v>
      </c>
      <c r="AG222" s="20">
        <v>3.55537709392057</v>
      </c>
      <c r="AH222" s="20">
        <v>2.9510245355960301</v>
      </c>
      <c r="AI222" s="21">
        <f t="shared" si="3"/>
        <v>-0.60435255832453993</v>
      </c>
      <c r="AJ222" s="21">
        <v>10402301</v>
      </c>
      <c r="AK222" s="21">
        <v>15400882</v>
      </c>
      <c r="AL222" s="21">
        <v>16540224</v>
      </c>
      <c r="AM222" s="20">
        <v>5545.8265000000001</v>
      </c>
      <c r="AN222" s="19">
        <v>14741290.315853599</v>
      </c>
      <c r="AO222" s="21">
        <v>23478.57</v>
      </c>
      <c r="AP222" s="21">
        <v>314.12099999999998</v>
      </c>
      <c r="AQ222" s="21">
        <v>255.155</v>
      </c>
      <c r="AR222" s="22">
        <v>8.6400000000000005E-2</v>
      </c>
      <c r="AS222" s="22">
        <v>0.90948694864908897</v>
      </c>
      <c r="AT222" s="20">
        <v>96.2</v>
      </c>
      <c r="AU222" s="20">
        <v>-10.7</v>
      </c>
    </row>
    <row r="223" spans="1:47" ht="16" customHeight="1" x14ac:dyDescent="0.2">
      <c r="A223" s="18" t="s">
        <v>335</v>
      </c>
      <c r="B223" s="19">
        <v>3260284.8</v>
      </c>
      <c r="C223" s="19">
        <v>1697512.6</v>
      </c>
      <c r="D223" s="19">
        <v>724388.9</v>
      </c>
      <c r="E223" s="19">
        <v>672288</v>
      </c>
      <c r="F223" s="19">
        <v>1540505.2</v>
      </c>
      <c r="G223" s="19">
        <v>1386355.7</v>
      </c>
      <c r="H223" s="19">
        <v>1564337.5</v>
      </c>
      <c r="I223" s="20">
        <v>77.2</v>
      </c>
      <c r="J223" s="21">
        <v>118.363</v>
      </c>
      <c r="K223" s="21">
        <v>119.593</v>
      </c>
      <c r="L223" s="21">
        <v>114.81100000000001</v>
      </c>
      <c r="M223" s="21">
        <v>120.5</v>
      </c>
      <c r="N223" s="21">
        <v>122.319</v>
      </c>
      <c r="O223" s="21">
        <v>124.127</v>
      </c>
      <c r="P223" s="21">
        <v>126.92</v>
      </c>
      <c r="Q223" s="21">
        <v>205.66</v>
      </c>
      <c r="R223" s="21">
        <v>74.613333333333301</v>
      </c>
      <c r="S223" s="21">
        <v>169.48254766666699</v>
      </c>
      <c r="T223" s="22">
        <v>148.93</v>
      </c>
      <c r="U223" s="19">
        <v>1873681.7</v>
      </c>
      <c r="V223" s="19">
        <v>182473.07036247299</v>
      </c>
      <c r="W223" s="19">
        <v>171159.74</v>
      </c>
      <c r="X223" s="19">
        <v>147577.15</v>
      </c>
      <c r="Y223" s="21">
        <v>6.2</v>
      </c>
      <c r="Z223" s="19">
        <v>66470404</v>
      </c>
      <c r="AA223" s="22">
        <v>0.57469878091631799</v>
      </c>
      <c r="AB223" s="22">
        <v>10.9469767832085</v>
      </c>
      <c r="AC223" s="20">
        <v>19.0481990683089</v>
      </c>
      <c r="AD223" s="20">
        <v>49.048668336662999</v>
      </c>
      <c r="AE223" s="20">
        <v>0.80931882062824201</v>
      </c>
      <c r="AF223" s="20">
        <v>0.93624192491339797</v>
      </c>
      <c r="AG223" s="20">
        <v>2.996487169835</v>
      </c>
      <c r="AH223" s="20">
        <v>2.8691361676393998</v>
      </c>
      <c r="AI223" s="21">
        <f t="shared" si="3"/>
        <v>-0.12735100219560014</v>
      </c>
      <c r="AJ223" s="21">
        <v>10603156</v>
      </c>
      <c r="AK223" s="21">
        <v>15603787</v>
      </c>
      <c r="AL223" s="21">
        <v>16776476</v>
      </c>
      <c r="AM223" s="20">
        <v>5911.4894000000004</v>
      </c>
      <c r="AN223" s="19">
        <v>14835821.7899622</v>
      </c>
      <c r="AO223" s="21">
        <v>23586.542000000001</v>
      </c>
      <c r="AP223" s="21">
        <v>316.58800000000002</v>
      </c>
      <c r="AQ223" s="21">
        <v>253.238</v>
      </c>
      <c r="AR223" s="22">
        <v>4.2000000000000003E-2</v>
      </c>
      <c r="AS223" s="22">
        <v>1.00792528788249</v>
      </c>
      <c r="AT223" s="20">
        <v>96.4</v>
      </c>
      <c r="AU223" s="20">
        <v>-12.4</v>
      </c>
    </row>
    <row r="224" spans="1:47" ht="16" customHeight="1" x14ac:dyDescent="0.2">
      <c r="A224" s="18" t="s">
        <v>336</v>
      </c>
      <c r="B224" s="19">
        <v>3278566</v>
      </c>
      <c r="C224" s="19">
        <v>1701890.7</v>
      </c>
      <c r="D224" s="19">
        <v>723841</v>
      </c>
      <c r="E224" s="19">
        <v>690218.3</v>
      </c>
      <c r="F224" s="19">
        <v>1573802.1</v>
      </c>
      <c r="G224" s="19">
        <v>1416856.5</v>
      </c>
      <c r="H224" s="19">
        <v>1571773.1</v>
      </c>
      <c r="I224" s="20">
        <v>77.3</v>
      </c>
      <c r="J224" s="21">
        <v>118.84699999999999</v>
      </c>
      <c r="K224" s="21">
        <v>120.65600000000001</v>
      </c>
      <c r="L224" s="21">
        <v>115.545</v>
      </c>
      <c r="M224" s="21">
        <v>120.467</v>
      </c>
      <c r="N224" s="21">
        <v>122.568</v>
      </c>
      <c r="O224" s="21">
        <v>124.79</v>
      </c>
      <c r="P224" s="21">
        <v>127.353333333333</v>
      </c>
      <c r="Q224" s="21">
        <v>212.88</v>
      </c>
      <c r="R224" s="21">
        <v>75.813333333333304</v>
      </c>
      <c r="S224" s="21">
        <v>177.43531833333299</v>
      </c>
      <c r="T224" s="22">
        <v>150.76</v>
      </c>
      <c r="U224" s="19">
        <v>1896008.9</v>
      </c>
      <c r="V224" s="19">
        <v>183195.82264957301</v>
      </c>
      <c r="W224" s="19">
        <v>171471.29</v>
      </c>
      <c r="X224" s="19">
        <v>147907.28</v>
      </c>
      <c r="Y224" s="21">
        <v>6.4</v>
      </c>
      <c r="Z224" s="19">
        <v>66366705</v>
      </c>
      <c r="AA224" s="22">
        <v>0.578304325732653</v>
      </c>
      <c r="AB224" s="22">
        <v>11.0572965305154</v>
      </c>
      <c r="AC224" s="20">
        <v>19.120203737896901</v>
      </c>
      <c r="AD224" s="20">
        <v>49.4007650372276</v>
      </c>
      <c r="AE224" s="20">
        <v>0.81384005547133798</v>
      </c>
      <c r="AF224" s="20">
        <v>0.95029934429345198</v>
      </c>
      <c r="AG224" s="20">
        <v>2.5568363354037298</v>
      </c>
      <c r="AH224" s="20">
        <v>3.13012756192858</v>
      </c>
      <c r="AI224" s="21">
        <f t="shared" si="3"/>
        <v>0.57329122652485021</v>
      </c>
      <c r="AJ224" s="21">
        <v>10682624</v>
      </c>
      <c r="AK224" s="21">
        <v>15658278</v>
      </c>
      <c r="AL224" s="21">
        <v>16838607</v>
      </c>
      <c r="AM224" s="20">
        <v>5900.7295999999997</v>
      </c>
      <c r="AN224" s="19">
        <v>14808710.619353499</v>
      </c>
      <c r="AO224" s="21">
        <v>23548.21</v>
      </c>
      <c r="AP224" s="21">
        <v>319.47500000000002</v>
      </c>
      <c r="AQ224" s="21">
        <v>258.46100000000001</v>
      </c>
      <c r="AR224" s="22">
        <v>1.54E-2</v>
      </c>
      <c r="AS224" s="22">
        <v>1.04989893595378</v>
      </c>
      <c r="AT224" s="20">
        <v>95.5</v>
      </c>
      <c r="AU224" s="20">
        <v>-12.1</v>
      </c>
    </row>
    <row r="225" spans="1:47" ht="16" customHeight="1" x14ac:dyDescent="0.2">
      <c r="A225" s="18" t="s">
        <v>337</v>
      </c>
      <c r="B225" s="19">
        <v>3282474.9</v>
      </c>
      <c r="C225" s="19">
        <v>1704443</v>
      </c>
      <c r="D225" s="19">
        <v>727601.1</v>
      </c>
      <c r="E225" s="19">
        <v>677986.6</v>
      </c>
      <c r="F225" s="19">
        <v>1566142.4</v>
      </c>
      <c r="G225" s="19">
        <v>1416318.4</v>
      </c>
      <c r="H225" s="19">
        <v>1589328.3</v>
      </c>
      <c r="I225" s="20">
        <v>77.8</v>
      </c>
      <c r="J225" s="21">
        <v>119.705</v>
      </c>
      <c r="K225" s="21">
        <v>121.19499999999999</v>
      </c>
      <c r="L225" s="21">
        <v>116.36</v>
      </c>
      <c r="M225" s="21">
        <v>121.19199999999999</v>
      </c>
      <c r="N225" s="21">
        <v>122.059</v>
      </c>
      <c r="O225" s="21">
        <v>123.377</v>
      </c>
      <c r="P225" s="21">
        <v>128.87</v>
      </c>
      <c r="Q225" s="21">
        <v>188.4</v>
      </c>
      <c r="R225" s="21">
        <v>68.006666666666703</v>
      </c>
      <c r="S225" s="21">
        <v>172.292248</v>
      </c>
      <c r="T225" s="22">
        <v>153.29</v>
      </c>
      <c r="U225" s="19">
        <v>1915934.2</v>
      </c>
      <c r="V225" s="19">
        <v>183327.820512821</v>
      </c>
      <c r="W225" s="19">
        <v>171594.84</v>
      </c>
      <c r="X225" s="19">
        <v>147986.01</v>
      </c>
      <c r="Y225" s="23">
        <v>6.4</v>
      </c>
      <c r="Z225" s="19">
        <v>66419569</v>
      </c>
      <c r="AA225" s="22">
        <v>0.58368586458955096</v>
      </c>
      <c r="AB225" s="22">
        <v>11.165453460022499</v>
      </c>
      <c r="AC225" s="20">
        <v>19.129216822603802</v>
      </c>
      <c r="AD225" s="20">
        <v>49.420298105216602</v>
      </c>
      <c r="AE225" s="20">
        <v>0.78300155817310102</v>
      </c>
      <c r="AF225" s="20">
        <v>0.88198976891868097</v>
      </c>
      <c r="AG225" s="20">
        <v>2.1076911976911998</v>
      </c>
      <c r="AH225" s="20">
        <v>3.0843253995265401</v>
      </c>
      <c r="AI225" s="21">
        <f t="shared" si="3"/>
        <v>0.97663420183534022</v>
      </c>
      <c r="AJ225" s="21">
        <v>10806796</v>
      </c>
      <c r="AK225" s="21">
        <v>15723085</v>
      </c>
      <c r="AL225" s="21">
        <v>16927287</v>
      </c>
      <c r="AM225" s="20">
        <v>5736.7888999999996</v>
      </c>
      <c r="AN225" s="19">
        <v>14935809.159385201</v>
      </c>
      <c r="AO225" s="21">
        <v>23770.975999999999</v>
      </c>
      <c r="AP225" s="21">
        <v>320.786</v>
      </c>
      <c r="AQ225" s="21">
        <v>259.18700000000001</v>
      </c>
      <c r="AR225" s="22">
        <v>6.6400000000000001E-2</v>
      </c>
      <c r="AS225" s="22">
        <v>1.32189870198568</v>
      </c>
      <c r="AT225" s="20">
        <v>94.3</v>
      </c>
      <c r="AU225" s="20">
        <v>-10.8</v>
      </c>
    </row>
    <row r="226" spans="1:47" ht="16" customHeight="1" x14ac:dyDescent="0.2">
      <c r="A226" s="18" t="s">
        <v>338</v>
      </c>
      <c r="B226" s="24"/>
      <c r="C226" s="24"/>
      <c r="D226" s="24"/>
      <c r="E226" s="24"/>
      <c r="F226" s="24"/>
      <c r="G226" s="24"/>
      <c r="H226" s="24"/>
      <c r="I226" s="20">
        <v>77.8</v>
      </c>
      <c r="J226" s="24"/>
      <c r="K226" s="24"/>
      <c r="L226" s="24"/>
      <c r="M226" s="24"/>
      <c r="N226" s="24"/>
      <c r="O226" s="24"/>
      <c r="P226" s="21">
        <v>129.22499999999999</v>
      </c>
      <c r="Q226" s="21"/>
      <c r="R226" s="21">
        <v>69.454999999999998</v>
      </c>
      <c r="S226" s="21"/>
      <c r="T226" s="22">
        <v>155.71</v>
      </c>
      <c r="U226" s="24"/>
      <c r="V226" s="24"/>
      <c r="W226" s="24"/>
      <c r="X226" s="24"/>
      <c r="Y226" s="24"/>
      <c r="Z226" s="24"/>
      <c r="AA226" s="20"/>
      <c r="AB226" s="20"/>
      <c r="AC226" s="20"/>
      <c r="AD226" s="20"/>
      <c r="AE226" s="20">
        <v>0.76973879683668101</v>
      </c>
      <c r="AF226" s="20"/>
      <c r="AG226" s="20">
        <v>2.0037215320911002</v>
      </c>
      <c r="AH226" s="20">
        <v>3.18930460713413</v>
      </c>
      <c r="AI226" s="21">
        <f t="shared" si="3"/>
        <v>1.1855830750430298</v>
      </c>
      <c r="AJ226" s="21">
        <v>10896148</v>
      </c>
      <c r="AK226" s="21">
        <v>15788711</v>
      </c>
      <c r="AL226" s="21">
        <v>16982252</v>
      </c>
      <c r="AM226" s="20">
        <v>6429.8218999999999</v>
      </c>
      <c r="AN226" s="24"/>
      <c r="AO226" s="21">
        <v>24026.833999999999</v>
      </c>
      <c r="AP226" s="21">
        <v>323.23500000000001</v>
      </c>
      <c r="AQ226" s="21">
        <v>262.17399999999998</v>
      </c>
      <c r="AR226" s="22">
        <v>2.6800000000000001E-2</v>
      </c>
      <c r="AS226" s="22">
        <v>1.1328743998209601</v>
      </c>
      <c r="AT226" s="20">
        <v>96</v>
      </c>
      <c r="AU226" s="20">
        <v>-10.1</v>
      </c>
    </row>
    <row r="227" spans="1:47" ht="16" customHeight="1" x14ac:dyDescent="0.2">
      <c r="A227" s="18" t="s">
        <v>339</v>
      </c>
      <c r="B227" s="24"/>
      <c r="C227" s="24"/>
      <c r="D227" s="24"/>
      <c r="E227" s="24"/>
      <c r="F227" s="24"/>
      <c r="G227" s="24"/>
      <c r="H227" s="24"/>
      <c r="I227" s="20"/>
      <c r="J227" s="24"/>
      <c r="K227" s="24"/>
      <c r="L227" s="24"/>
      <c r="M227" s="24"/>
      <c r="N227" s="24"/>
      <c r="O227" s="24"/>
      <c r="P227" s="21"/>
      <c r="Q227" s="21"/>
      <c r="R227" s="21"/>
      <c r="S227" s="21"/>
      <c r="T227" s="22"/>
      <c r="U227" s="24"/>
      <c r="V227" s="24"/>
      <c r="W227" s="24"/>
      <c r="X227" s="24"/>
      <c r="Y227" s="24"/>
      <c r="Z227" s="24"/>
      <c r="AA227" s="20"/>
      <c r="AB227" s="20"/>
      <c r="AC227" s="20"/>
      <c r="AD227" s="20"/>
      <c r="AE227" s="20"/>
      <c r="AF227" s="20"/>
      <c r="AG227" s="20"/>
      <c r="AH227" s="20"/>
      <c r="AI227" s="21"/>
      <c r="AJ227" s="21">
        <v>11092478</v>
      </c>
      <c r="AK227" s="21">
        <v>16077194</v>
      </c>
      <c r="AL227" s="21">
        <v>17204185</v>
      </c>
      <c r="AM227" s="20">
        <v>6776.5343000000003</v>
      </c>
      <c r="AN227" s="24"/>
      <c r="AO227" s="21">
        <v>24065.955999999998</v>
      </c>
      <c r="AP227" s="21">
        <v>325.54700000000003</v>
      </c>
      <c r="AQ227" s="21">
        <v>261.06299999999999</v>
      </c>
      <c r="AR227" s="22">
        <v>3.3099999999999997E-2</v>
      </c>
      <c r="AS227" s="22">
        <v>1.1184705607096399</v>
      </c>
      <c r="AT227" s="20">
        <v>97.3</v>
      </c>
      <c r="AU227" s="20">
        <v>-8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16.33203125" defaultRowHeight="13" customHeight="1" x14ac:dyDescent="0.2"/>
  <cols>
    <col min="1" max="1" width="16.33203125" style="1" customWidth="1"/>
    <col min="2" max="2" width="43.83203125" style="1" customWidth="1"/>
    <col min="3" max="6" width="16.33203125" style="1" customWidth="1"/>
    <col min="7" max="16384" width="16.33203125" style="1"/>
  </cols>
  <sheetData>
    <row r="1" spans="1:5" ht="15.5" customHeight="1" x14ac:dyDescent="0.2">
      <c r="A1" s="25" t="s">
        <v>3</v>
      </c>
      <c r="B1" s="26"/>
      <c r="C1" s="27"/>
      <c r="D1" s="27"/>
      <c r="E1" s="27"/>
    </row>
    <row r="2" spans="1:5" ht="15.5" customHeight="1" x14ac:dyDescent="0.2">
      <c r="A2" s="28">
        <v>1</v>
      </c>
      <c r="B2" s="29" t="s">
        <v>340</v>
      </c>
      <c r="C2" s="30"/>
      <c r="D2" s="30"/>
      <c r="E2" s="30"/>
    </row>
    <row r="3" spans="1:5" ht="15.25" customHeight="1" x14ac:dyDescent="0.2">
      <c r="A3" s="31">
        <v>2</v>
      </c>
      <c r="B3" s="32" t="s">
        <v>341</v>
      </c>
      <c r="C3" s="33"/>
      <c r="D3" s="33"/>
      <c r="E3" s="33"/>
    </row>
    <row r="4" spans="1:5" ht="15.25" customHeight="1" x14ac:dyDescent="0.2">
      <c r="A4" s="31">
        <v>3</v>
      </c>
      <c r="B4" s="32" t="s">
        <v>342</v>
      </c>
      <c r="C4" s="33"/>
      <c r="D4" s="33"/>
      <c r="E4" s="33"/>
    </row>
    <row r="5" spans="1:5" ht="15.25" customHeight="1" x14ac:dyDescent="0.2">
      <c r="A5" s="34"/>
      <c r="B5" s="35"/>
      <c r="C5" s="33"/>
      <c r="D5" s="33"/>
      <c r="E5" s="33"/>
    </row>
    <row r="6" spans="1:5" ht="15.25" customHeight="1" x14ac:dyDescent="0.2">
      <c r="A6" s="34"/>
      <c r="B6" s="35"/>
      <c r="C6" s="33"/>
      <c r="D6" s="33"/>
      <c r="E6" s="33"/>
    </row>
    <row r="7" spans="1:5" ht="15.25" customHeight="1" x14ac:dyDescent="0.2">
      <c r="A7" s="34"/>
      <c r="B7" s="35"/>
      <c r="C7" s="33"/>
      <c r="D7" s="33"/>
      <c r="E7" s="33"/>
    </row>
    <row r="8" spans="1:5" ht="15.25" customHeight="1" x14ac:dyDescent="0.2">
      <c r="A8" s="34"/>
      <c r="B8" s="35"/>
      <c r="C8" s="33"/>
      <c r="D8" s="33"/>
      <c r="E8" s="33"/>
    </row>
    <row r="9" spans="1:5" ht="15.25" customHeight="1" x14ac:dyDescent="0.2">
      <c r="A9" s="34"/>
      <c r="B9" s="35"/>
      <c r="C9" s="33"/>
      <c r="D9" s="33"/>
      <c r="E9" s="3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Charisios Grivas</cp:lastModifiedBy>
  <dcterms:modified xsi:type="dcterms:W3CDTF">2026-03-30T11:16:48Z</dcterms:modified>
</cp:coreProperties>
</file>